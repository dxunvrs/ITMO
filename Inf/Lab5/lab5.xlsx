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<sst xmlns="http://schemas.openxmlformats.org/spreadsheetml/2006/main" count="207" uniqueCount="75">
  <si>
    <t xml:space="preserve">A=</t>
  </si>
  <si>
    <t xml:space="preserve">C=</t>
  </si>
  <si>
    <t xml:space="preserve">X1=</t>
  </si>
  <si>
    <t xml:space="preserve">B1=</t>
  </si>
  <si>
    <t xml:space="preserve">.</t>
  </si>
  <si>
    <t xml:space="preserve">X2=</t>
  </si>
  <si>
    <t xml:space="preserve">B2=</t>
  </si>
  <si>
    <t xml:space="preserve">X3=</t>
  </si>
  <si>
    <t xml:space="preserve">A+C=</t>
  </si>
  <si>
    <t xml:space="preserve">B3=</t>
  </si>
  <si>
    <t xml:space="preserve">X4=</t>
  </si>
  <si>
    <t xml:space="preserve">A+C+C=</t>
  </si>
  <si>
    <t xml:space="preserve">B4=</t>
  </si>
  <si>
    <t xml:space="preserve">X5=</t>
  </si>
  <si>
    <t xml:space="preserve">C-A=</t>
  </si>
  <si>
    <t xml:space="preserve">B5=</t>
  </si>
  <si>
    <t xml:space="preserve">X6=</t>
  </si>
  <si>
    <t xml:space="preserve">65536-X4=</t>
  </si>
  <si>
    <t xml:space="preserve">B6=</t>
  </si>
  <si>
    <t xml:space="preserve">X7=</t>
  </si>
  <si>
    <t xml:space="preserve">-X1=</t>
  </si>
  <si>
    <t xml:space="preserve">B7=</t>
  </si>
  <si>
    <t xml:space="preserve">-B1=</t>
  </si>
  <si>
    <t xml:space="preserve">X8=</t>
  </si>
  <si>
    <t xml:space="preserve">-X2=</t>
  </si>
  <si>
    <t xml:space="preserve">B8=</t>
  </si>
  <si>
    <t xml:space="preserve">-B2=</t>
  </si>
  <si>
    <t xml:space="preserve">X9=</t>
  </si>
  <si>
    <t xml:space="preserve">-X3=</t>
  </si>
  <si>
    <t xml:space="preserve">B9=</t>
  </si>
  <si>
    <t xml:space="preserve">-B3=</t>
  </si>
  <si>
    <t xml:space="preserve">X10=</t>
  </si>
  <si>
    <t xml:space="preserve">-X4=</t>
  </si>
  <si>
    <t xml:space="preserve">B10=</t>
  </si>
  <si>
    <t xml:space="preserve">-B4=</t>
  </si>
  <si>
    <t xml:space="preserve">X11=</t>
  </si>
  <si>
    <t xml:space="preserve">-X5=</t>
  </si>
  <si>
    <t xml:space="preserve">B11=</t>
  </si>
  <si>
    <t xml:space="preserve">-B5=</t>
  </si>
  <si>
    <t xml:space="preserve">X12=</t>
  </si>
  <si>
    <t xml:space="preserve">-X6=</t>
  </si>
  <si>
    <t xml:space="preserve">B12=</t>
  </si>
  <si>
    <t xml:space="preserve">-B6=</t>
  </si>
  <si>
    <t xml:space="preserve">ОДЗ: [-2^15, 2^15-1]</t>
  </si>
  <si>
    <t xml:space="preserve">переносы</t>
  </si>
  <si>
    <t xml:space="preserve">B1</t>
  </si>
  <si>
    <t xml:space="preserve">X1</t>
  </si>
  <si>
    <t xml:space="preserve">При сложении двух положительных чисел получено положительное число. Результат верный и корректный, совпадает с суммой десятичных эквивалентов</t>
  </si>
  <si>
    <t xml:space="preserve">+</t>
  </si>
  <si>
    <t xml:space="preserve">B2</t>
  </si>
  <si>
    <t xml:space="preserve">X2</t>
  </si>
  <si>
    <t xml:space="preserve">=</t>
  </si>
  <si>
    <t xml:space="preserve">CF=</t>
  </si>
  <si>
    <t xml:space="preserve">PF=</t>
  </si>
  <si>
    <t xml:space="preserve">AF=</t>
  </si>
  <si>
    <t xml:space="preserve">ZF=</t>
  </si>
  <si>
    <t xml:space="preserve">SF=</t>
  </si>
  <si>
    <t xml:space="preserve">OF=</t>
  </si>
  <si>
    <t xml:space="preserve">При сложении двух положительных чисел получено отрицательное число. Результат некорректный и не совпадает с суммой десятичных эквивалентов, так как произошло переполнение</t>
  </si>
  <si>
    <t xml:space="preserve">B3</t>
  </si>
  <si>
    <t xml:space="preserve">X3</t>
  </si>
  <si>
    <t xml:space="preserve">При сложении положительного числа и отрицательного получено положительное число. Результат верный и корректный, совпадает с суммой десятичных эквивалентов</t>
  </si>
  <si>
    <t xml:space="preserve">B7 </t>
  </si>
  <si>
    <t xml:space="preserve">X7</t>
  </si>
  <si>
    <t xml:space="preserve">B7</t>
  </si>
  <si>
    <t xml:space="preserve">При сложении двух отрицательных чисел получено отрицательное число. Результат верный и корректный, совпадает с суммой десятичных эквивалентов</t>
  </si>
  <si>
    <t xml:space="preserve">B8</t>
  </si>
  <si>
    <t xml:space="preserve">X8</t>
  </si>
  <si>
    <t xml:space="preserve">При сложении двух отрицательных чисел получено положительное число. Результат некорректный и не совпадает с суммой десятичных эквивалентов, так как произошло переполнение</t>
  </si>
  <si>
    <t xml:space="preserve">B9</t>
  </si>
  <si>
    <t xml:space="preserve">X9</t>
  </si>
  <si>
    <t xml:space="preserve">При сложении положительного числа и отрицательного получено отрицательное число. Результат верный и корректный, совпадает с суммой десятичных эквивалентов</t>
  </si>
  <si>
    <t xml:space="preserve">B11 </t>
  </si>
  <si>
    <t xml:space="preserve">X11</t>
  </si>
  <si>
    <t xml:space="preserve">При сложении отрицательного числа с положительным получено положительное число. Результат верный и корректный, совпадает с суммой десятичных эквивалентов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</si>
</sst>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6"/>
      <color rgb="FF999999"/>
      <name val="Arial"/>
      <family val="2"/>
      <charset val="1"/>
    </font>
    <font>
      <sz val="6"/>
      <color rgb="FF111111"/>
      <name val="Arial"/>
      <family val="2"/>
      <charset val="1"/>
    </font>
    <font>
      <sz val="10"/>
      <color rgb="FF999999"/>
      <name val="Arial"/>
      <family val="2"/>
      <charset val="1"/>
    </font>
    <font>
      <sz val="6"/>
      <color rgb="FF80808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999999"/>
        <bgColor rgb="FF808080"/>
      </patternFill>
    </fill>
    <fill>
      <patternFill patternType="solid">
        <fgColor rgb="FFF10D0C"/>
        <bgColor rgb="FF9933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Мой стиль" xfId="20"/>
  </cellStyles>
  <dxfs count="1">
    <dxf>
      <font>
        <name val="Arial"/>
        <charset val="1"/>
        <family val="2"/>
        <color rgb="FF000000"/>
      </font>
      <fill>
        <patternFill>
          <bgColor rgb="FF00A933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00A933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A5" activeCellId="0" sqref="A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23"/>
    <col collapsed="false" customWidth="true" hidden="false" outlineLevel="0" max="2" min="2" style="2" width="10.38"/>
    <col collapsed="false" customWidth="true" hidden="false" outlineLevel="0" max="3" min="3" style="1" width="9.36"/>
    <col collapsed="false" customWidth="true" hidden="false" outlineLevel="0" max="4" min="4" style="1" width="2.51"/>
    <col collapsed="false" customWidth="true" hidden="false" outlineLevel="0" max="5" min="5" style="1" width="4.65"/>
    <col collapsed="false" customWidth="true" hidden="false" outlineLevel="0" max="6" min="6" style="1" width="5.3"/>
    <col collapsed="false" customWidth="true" hidden="false" outlineLevel="0" max="10" min="7" style="3" width="2.42"/>
    <col collapsed="false" customWidth="true" hidden="false" outlineLevel="0" max="11" min="11" style="3" width="1.97"/>
    <col collapsed="false" customWidth="true" hidden="false" outlineLevel="0" max="15" min="12" style="3" width="2.42"/>
    <col collapsed="false" customWidth="true" hidden="false" outlineLevel="0" max="16" min="16" style="3" width="1.97"/>
    <col collapsed="false" customWidth="true" hidden="false" outlineLevel="0" max="20" min="17" style="3" width="2.42"/>
    <col collapsed="false" customWidth="true" hidden="false" outlineLevel="0" max="21" min="21" style="3" width="1.97"/>
    <col collapsed="false" customWidth="true" hidden="false" outlineLevel="0" max="25" min="22" style="3" width="2.42"/>
    <col collapsed="false" customWidth="true" hidden="false" outlineLevel="0" max="26" min="26" style="3" width="2.51"/>
    <col collapsed="false" customWidth="true" hidden="false" outlineLevel="0" max="27" min="27" style="1" width="6.26"/>
    <col collapsed="false" customWidth="true" hidden="false" outlineLevel="0" max="28" min="28" style="1" width="2.51"/>
    <col collapsed="false" customWidth="true" hidden="false" outlineLevel="0" max="29" min="29" style="1" width="4.28"/>
    <col collapsed="false" customWidth="true" hidden="false" outlineLevel="0" max="30" min="30" style="1" width="3.74"/>
    <col collapsed="false" customWidth="true" hidden="false" outlineLevel="0" max="31" min="31" style="1" width="6.26"/>
  </cols>
  <sheetData>
    <row r="1" customFormat="false" ht="12.8" hidden="false" customHeight="false" outlineLevel="0" collapsed="false">
      <c r="A1" s="4"/>
      <c r="B1" s="5" t="s">
        <v>0</v>
      </c>
      <c r="C1" s="6" t="n">
        <v>3307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</row>
    <row r="2" customFormat="false" ht="12.8" hidden="false" customHeight="false" outlineLevel="0" collapsed="false">
      <c r="A2" s="9"/>
      <c r="B2" s="2" t="s">
        <v>1</v>
      </c>
      <c r="C2" s="1" t="n">
        <v>20458</v>
      </c>
      <c r="Y2" s="10"/>
    </row>
    <row r="3" customFormat="false" ht="12.8" hidden="false" customHeight="false" outlineLevel="0" collapsed="false">
      <c r="A3" s="9"/>
      <c r="D3" s="11"/>
      <c r="G3" s="12" t="n">
        <v>15</v>
      </c>
      <c r="H3" s="12" t="n">
        <v>14</v>
      </c>
      <c r="I3" s="12" t="n">
        <v>13</v>
      </c>
      <c r="J3" s="12" t="n">
        <v>12</v>
      </c>
      <c r="K3" s="12"/>
      <c r="L3" s="12" t="n">
        <v>11</v>
      </c>
      <c r="M3" s="12" t="n">
        <v>10</v>
      </c>
      <c r="N3" s="12" t="n">
        <v>9</v>
      </c>
      <c r="O3" s="12" t="n">
        <v>8</v>
      </c>
      <c r="P3" s="12"/>
      <c r="Q3" s="12" t="n">
        <v>7</v>
      </c>
      <c r="R3" s="12" t="n">
        <v>6</v>
      </c>
      <c r="S3" s="12" t="n">
        <v>5</v>
      </c>
      <c r="T3" s="12" t="n">
        <v>4</v>
      </c>
      <c r="U3" s="12"/>
      <c r="V3" s="12" t="n">
        <v>3</v>
      </c>
      <c r="W3" s="12" t="n">
        <v>2</v>
      </c>
      <c r="X3" s="12" t="n">
        <v>1</v>
      </c>
      <c r="Y3" s="13" t="n">
        <v>0</v>
      </c>
    </row>
    <row r="4" customFormat="false" ht="12.8" hidden="false" customHeight="false" outlineLevel="0" collapsed="false">
      <c r="A4" s="9" t="s">
        <v>2</v>
      </c>
      <c r="B4" s="2" t="s">
        <v>0</v>
      </c>
      <c r="C4" s="1" t="n">
        <f aca="false">C1</f>
        <v>3307</v>
      </c>
      <c r="E4" s="1" t="s">
        <v>3</v>
      </c>
      <c r="G4" s="3" t="n">
        <f aca="false">MOD(INT($C4/2^G$3),2)</f>
        <v>0</v>
      </c>
      <c r="H4" s="3" t="n">
        <f aca="false">MOD(INT($C4/2^H$3),2)</f>
        <v>0</v>
      </c>
      <c r="I4" s="3" t="n">
        <f aca="false">MOD(INT($C4/2^I$3),2)</f>
        <v>0</v>
      </c>
      <c r="J4" s="3" t="n">
        <f aca="false">MOD(INT($C4/2^J$3),2)</f>
        <v>0</v>
      </c>
      <c r="K4" s="3" t="s">
        <v>4</v>
      </c>
      <c r="L4" s="3" t="n">
        <f aca="false">MOD(INT($C4/2^L$3),2)</f>
        <v>1</v>
      </c>
      <c r="M4" s="3" t="n">
        <f aca="false">MOD(INT($C4/2^M$3),2)</f>
        <v>1</v>
      </c>
      <c r="N4" s="3" t="n">
        <f aca="false">MOD(INT($C4/2^N$3),2)</f>
        <v>0</v>
      </c>
      <c r="O4" s="3" t="n">
        <f aca="false">MOD(INT($C4/2^O$3),2)</f>
        <v>0</v>
      </c>
      <c r="P4" s="3" t="s">
        <v>4</v>
      </c>
      <c r="Q4" s="3" t="n">
        <f aca="false">MOD(INT($C4/2^Q$3),2)</f>
        <v>1</v>
      </c>
      <c r="R4" s="3" t="n">
        <f aca="false">MOD(INT($C4/2^R$3),2)</f>
        <v>1</v>
      </c>
      <c r="S4" s="3" t="n">
        <f aca="false">MOD(INT($C4/2^S$3),2)</f>
        <v>1</v>
      </c>
      <c r="T4" s="3" t="n">
        <f aca="false">MOD(INT($C4/2^T$3),2)</f>
        <v>0</v>
      </c>
      <c r="U4" s="3" t="s">
        <v>4</v>
      </c>
      <c r="V4" s="3" t="n">
        <f aca="false">MOD(INT($C4/2^V$3),2)</f>
        <v>1</v>
      </c>
      <c r="W4" s="3" t="n">
        <f aca="false">MOD(INT($C4/2^W$3),2)</f>
        <v>0</v>
      </c>
      <c r="X4" s="3" t="n">
        <f aca="false">MOD(INT($C4/2^X$3),2)</f>
        <v>1</v>
      </c>
      <c r="Y4" s="10" t="n">
        <f aca="false">MOD(INT($C4/2^Y$3),2)</f>
        <v>1</v>
      </c>
    </row>
    <row r="5" customFormat="false" ht="12.8" hidden="false" customHeight="false" outlineLevel="0" collapsed="false">
      <c r="A5" s="9" t="s">
        <v>5</v>
      </c>
      <c r="B5" s="2" t="s">
        <v>1</v>
      </c>
      <c r="C5" s="1" t="n">
        <f aca="false">C2</f>
        <v>20458</v>
      </c>
      <c r="E5" s="1" t="s">
        <v>6</v>
      </c>
      <c r="G5" s="3" t="n">
        <f aca="false">MOD(INT($C5/2^G$3),2)</f>
        <v>0</v>
      </c>
      <c r="H5" s="3" t="n">
        <f aca="false">MOD(INT($C5/2^H$3),2)</f>
        <v>1</v>
      </c>
      <c r="I5" s="3" t="n">
        <f aca="false">MOD(INT($C5/2^I$3),2)</f>
        <v>0</v>
      </c>
      <c r="J5" s="3" t="n">
        <f aca="false">MOD(INT($C5/2^J$3),2)</f>
        <v>0</v>
      </c>
      <c r="K5" s="3" t="s">
        <v>4</v>
      </c>
      <c r="L5" s="3" t="n">
        <f aca="false">MOD(INT($C5/2^L$3),2)</f>
        <v>1</v>
      </c>
      <c r="M5" s="3" t="n">
        <f aca="false">MOD(INT($C5/2^M$3),2)</f>
        <v>1</v>
      </c>
      <c r="N5" s="3" t="n">
        <f aca="false">MOD(INT($C5/2^N$3),2)</f>
        <v>1</v>
      </c>
      <c r="O5" s="3" t="n">
        <f aca="false">MOD(INT($C5/2^O$3),2)</f>
        <v>1</v>
      </c>
      <c r="P5" s="3" t="s">
        <v>4</v>
      </c>
      <c r="Q5" s="3" t="n">
        <f aca="false">MOD(INT($C5/2^Q$3),2)</f>
        <v>1</v>
      </c>
      <c r="R5" s="3" t="n">
        <f aca="false">MOD(INT($C5/2^R$3),2)</f>
        <v>1</v>
      </c>
      <c r="S5" s="3" t="n">
        <f aca="false">MOD(INT($C5/2^S$3),2)</f>
        <v>1</v>
      </c>
      <c r="T5" s="3" t="n">
        <f aca="false">MOD(INT($C5/2^T$3),2)</f>
        <v>0</v>
      </c>
      <c r="U5" s="3" t="s">
        <v>4</v>
      </c>
      <c r="V5" s="3" t="n">
        <f aca="false">MOD(INT($C5/2^V$3),2)</f>
        <v>1</v>
      </c>
      <c r="W5" s="3" t="n">
        <f aca="false">MOD(INT($C5/2^W$3),2)</f>
        <v>0</v>
      </c>
      <c r="X5" s="3" t="n">
        <f aca="false">MOD(INT($C5/2^X$3),2)</f>
        <v>1</v>
      </c>
      <c r="Y5" s="10" t="n">
        <f aca="false">MOD(INT($C5/2^Y$3),2)</f>
        <v>0</v>
      </c>
    </row>
    <row r="6" customFormat="false" ht="12.8" hidden="false" customHeight="false" outlineLevel="0" collapsed="false">
      <c r="A6" s="9" t="s">
        <v>7</v>
      </c>
      <c r="B6" s="2" t="s">
        <v>8</v>
      </c>
      <c r="C6" s="1" t="n">
        <f aca="false">C1+C2</f>
        <v>23765</v>
      </c>
      <c r="E6" s="1" t="s">
        <v>9</v>
      </c>
      <c r="G6" s="3" t="n">
        <f aca="false">MOD(INT($C6/2^G$3),2)</f>
        <v>0</v>
      </c>
      <c r="H6" s="3" t="n">
        <f aca="false">MOD(INT($C6/2^H$3),2)</f>
        <v>1</v>
      </c>
      <c r="I6" s="3" t="n">
        <f aca="false">MOD(INT($C6/2^I$3),2)</f>
        <v>0</v>
      </c>
      <c r="J6" s="3" t="n">
        <f aca="false">MOD(INT($C6/2^J$3),2)</f>
        <v>1</v>
      </c>
      <c r="K6" s="3" t="s">
        <v>4</v>
      </c>
      <c r="L6" s="3" t="n">
        <f aca="false">MOD(INT($C6/2^L$3),2)</f>
        <v>1</v>
      </c>
      <c r="M6" s="3" t="n">
        <f aca="false">MOD(INT($C6/2^M$3),2)</f>
        <v>1</v>
      </c>
      <c r="N6" s="3" t="n">
        <f aca="false">MOD(INT($C6/2^N$3),2)</f>
        <v>0</v>
      </c>
      <c r="O6" s="3" t="n">
        <f aca="false">MOD(INT($C6/2^O$3),2)</f>
        <v>0</v>
      </c>
      <c r="P6" s="3" t="s">
        <v>4</v>
      </c>
      <c r="Q6" s="3" t="n">
        <f aca="false">MOD(INT($C6/2^Q$3),2)</f>
        <v>1</v>
      </c>
      <c r="R6" s="3" t="n">
        <f aca="false">MOD(INT($C6/2^R$3),2)</f>
        <v>1</v>
      </c>
      <c r="S6" s="3" t="n">
        <f aca="false">MOD(INT($C6/2^S$3),2)</f>
        <v>0</v>
      </c>
      <c r="T6" s="3" t="n">
        <f aca="false">MOD(INT($C6/2^T$3),2)</f>
        <v>1</v>
      </c>
      <c r="U6" s="3" t="s">
        <v>4</v>
      </c>
      <c r="V6" s="3" t="n">
        <f aca="false">MOD(INT($C6/2^V$3),2)</f>
        <v>0</v>
      </c>
      <c r="W6" s="3" t="n">
        <f aca="false">MOD(INT($C6/2^W$3),2)</f>
        <v>1</v>
      </c>
      <c r="X6" s="3" t="n">
        <f aca="false">MOD(INT($C6/2^X$3),2)</f>
        <v>0</v>
      </c>
      <c r="Y6" s="10" t="n">
        <f aca="false">MOD(INT($C6/2^Y$3),2)</f>
        <v>1</v>
      </c>
    </row>
    <row r="7" customFormat="false" ht="12.8" hidden="false" customHeight="false" outlineLevel="0" collapsed="false">
      <c r="A7" s="9" t="s">
        <v>10</v>
      </c>
      <c r="B7" s="2" t="s">
        <v>11</v>
      </c>
      <c r="C7" s="1" t="n">
        <f aca="false">C1+C2+C2</f>
        <v>44223</v>
      </c>
      <c r="E7" s="1" t="s">
        <v>12</v>
      </c>
      <c r="G7" s="3" t="n">
        <f aca="false">MOD(INT($C7/2^G$3),2)</f>
        <v>1</v>
      </c>
      <c r="H7" s="3" t="n">
        <f aca="false">MOD(INT($C7/2^H$3),2)</f>
        <v>0</v>
      </c>
      <c r="I7" s="3" t="n">
        <f aca="false">MOD(INT($C7/2^I$3),2)</f>
        <v>1</v>
      </c>
      <c r="J7" s="3" t="n">
        <f aca="false">MOD(INT($C7/2^J$3),2)</f>
        <v>0</v>
      </c>
      <c r="K7" s="3" t="s">
        <v>4</v>
      </c>
      <c r="L7" s="3" t="n">
        <f aca="false">MOD(INT($C7/2^L$3),2)</f>
        <v>1</v>
      </c>
      <c r="M7" s="3" t="n">
        <f aca="false">MOD(INT($C7/2^M$3),2)</f>
        <v>1</v>
      </c>
      <c r="N7" s="3" t="n">
        <f aca="false">MOD(INT($C7/2^N$3),2)</f>
        <v>0</v>
      </c>
      <c r="O7" s="3" t="n">
        <f aca="false">MOD(INT($C7/2^O$3),2)</f>
        <v>0</v>
      </c>
      <c r="P7" s="3" t="s">
        <v>4</v>
      </c>
      <c r="Q7" s="3" t="n">
        <f aca="false">MOD(INT($C7/2^Q$3),2)</f>
        <v>1</v>
      </c>
      <c r="R7" s="3" t="n">
        <f aca="false">MOD(INT($C7/2^R$3),2)</f>
        <v>0</v>
      </c>
      <c r="S7" s="3" t="n">
        <f aca="false">MOD(INT($C7/2^S$3),2)</f>
        <v>1</v>
      </c>
      <c r="T7" s="3" t="n">
        <f aca="false">MOD(INT($C7/2^T$3),2)</f>
        <v>1</v>
      </c>
      <c r="U7" s="3" t="s">
        <v>4</v>
      </c>
      <c r="V7" s="3" t="n">
        <f aca="false">MOD(INT($C7/2^V$3),2)</f>
        <v>1</v>
      </c>
      <c r="W7" s="3" t="n">
        <f aca="false">MOD(INT($C7/2^W$3),2)</f>
        <v>1</v>
      </c>
      <c r="X7" s="3" t="n">
        <f aca="false">MOD(INT($C7/2^X$3),2)</f>
        <v>1</v>
      </c>
      <c r="Y7" s="10" t="n">
        <f aca="false">MOD(INT($C7/2^Y$3),2)</f>
        <v>1</v>
      </c>
    </row>
    <row r="8" customFormat="false" ht="12.8" hidden="false" customHeight="false" outlineLevel="0" collapsed="false">
      <c r="A8" s="9" t="s">
        <v>13</v>
      </c>
      <c r="B8" s="2" t="s">
        <v>14</v>
      </c>
      <c r="C8" s="1" t="n">
        <f aca="false">C2-C1</f>
        <v>17151</v>
      </c>
      <c r="E8" s="1" t="s">
        <v>15</v>
      </c>
      <c r="G8" s="3" t="n">
        <f aca="false">MOD(INT($C8/2^G$3),2)</f>
        <v>0</v>
      </c>
      <c r="H8" s="3" t="n">
        <f aca="false">MOD(INT($C8/2^H$3),2)</f>
        <v>1</v>
      </c>
      <c r="I8" s="3" t="n">
        <f aca="false">MOD(INT($C8/2^I$3),2)</f>
        <v>0</v>
      </c>
      <c r="J8" s="3" t="n">
        <f aca="false">MOD(INT($C8/2^J$3),2)</f>
        <v>0</v>
      </c>
      <c r="K8" s="3" t="s">
        <v>4</v>
      </c>
      <c r="L8" s="3" t="n">
        <f aca="false">MOD(INT($C8/2^L$3),2)</f>
        <v>0</v>
      </c>
      <c r="M8" s="3" t="n">
        <f aca="false">MOD(INT($C8/2^M$3),2)</f>
        <v>0</v>
      </c>
      <c r="N8" s="3" t="n">
        <f aca="false">MOD(INT($C8/2^N$3),2)</f>
        <v>1</v>
      </c>
      <c r="O8" s="3" t="n">
        <f aca="false">MOD(INT($C8/2^O$3),2)</f>
        <v>0</v>
      </c>
      <c r="P8" s="3" t="s">
        <v>4</v>
      </c>
      <c r="Q8" s="3" t="n">
        <f aca="false">MOD(INT($C8/2^Q$3),2)</f>
        <v>1</v>
      </c>
      <c r="R8" s="3" t="n">
        <f aca="false">MOD(INT($C8/2^R$3),2)</f>
        <v>1</v>
      </c>
      <c r="S8" s="3" t="n">
        <f aca="false">MOD(INT($C8/2^S$3),2)</f>
        <v>1</v>
      </c>
      <c r="T8" s="3" t="n">
        <f aca="false">MOD(INT($C8/2^T$3),2)</f>
        <v>1</v>
      </c>
      <c r="U8" s="3" t="s">
        <v>4</v>
      </c>
      <c r="V8" s="3" t="n">
        <f aca="false">MOD(INT($C8/2^V$3),2)</f>
        <v>1</v>
      </c>
      <c r="W8" s="3" t="n">
        <f aca="false">MOD(INT($C8/2^W$3),2)</f>
        <v>1</v>
      </c>
      <c r="X8" s="3" t="n">
        <f aca="false">MOD(INT($C8/2^X$3),2)</f>
        <v>1</v>
      </c>
      <c r="Y8" s="10" t="n">
        <f aca="false">MOD(INT($C8/2^Y$3),2)</f>
        <v>1</v>
      </c>
    </row>
    <row r="9" customFormat="false" ht="12.8" hidden="false" customHeight="false" outlineLevel="0" collapsed="false">
      <c r="A9" s="9" t="s">
        <v>16</v>
      </c>
      <c r="B9" s="2" t="s">
        <v>17</v>
      </c>
      <c r="C9" s="1" t="n">
        <f aca="false">65536-C7</f>
        <v>21313</v>
      </c>
      <c r="E9" s="1" t="s">
        <v>18</v>
      </c>
      <c r="G9" s="3" t="n">
        <f aca="false">MOD(INT($C9/2^G$3),2)</f>
        <v>0</v>
      </c>
      <c r="H9" s="3" t="n">
        <f aca="false">MOD(INT($C9/2^H$3),2)</f>
        <v>1</v>
      </c>
      <c r="I9" s="3" t="n">
        <f aca="false">MOD(INT($C9/2^I$3),2)</f>
        <v>0</v>
      </c>
      <c r="J9" s="3" t="n">
        <f aca="false">MOD(INT($C9/2^J$3),2)</f>
        <v>1</v>
      </c>
      <c r="K9" s="3" t="s">
        <v>4</v>
      </c>
      <c r="L9" s="3" t="n">
        <f aca="false">MOD(INT($C9/2^L$3),2)</f>
        <v>0</v>
      </c>
      <c r="M9" s="3" t="n">
        <f aca="false">MOD(INT($C9/2^M$3),2)</f>
        <v>0</v>
      </c>
      <c r="N9" s="3" t="n">
        <f aca="false">MOD(INT($C9/2^N$3),2)</f>
        <v>1</v>
      </c>
      <c r="O9" s="3" t="n">
        <f aca="false">MOD(INT($C9/2^O$3),2)</f>
        <v>1</v>
      </c>
      <c r="P9" s="3" t="s">
        <v>4</v>
      </c>
      <c r="Q9" s="3" t="n">
        <f aca="false">MOD(INT($C9/2^Q$3),2)</f>
        <v>0</v>
      </c>
      <c r="R9" s="3" t="n">
        <f aca="false">MOD(INT($C9/2^R$3),2)</f>
        <v>1</v>
      </c>
      <c r="S9" s="3" t="n">
        <f aca="false">MOD(INT($C9/2^S$3),2)</f>
        <v>0</v>
      </c>
      <c r="T9" s="3" t="n">
        <f aca="false">MOD(INT($C9/2^T$3),2)</f>
        <v>0</v>
      </c>
      <c r="U9" s="3" t="s">
        <v>4</v>
      </c>
      <c r="V9" s="3" t="n">
        <f aca="false">MOD(INT($C9/2^V$3),2)</f>
        <v>0</v>
      </c>
      <c r="W9" s="3" t="n">
        <f aca="false">MOD(INT($C9/2^W$3),2)</f>
        <v>0</v>
      </c>
      <c r="X9" s="3" t="n">
        <f aca="false">MOD(INT($C9/2^X$3),2)</f>
        <v>0</v>
      </c>
      <c r="Y9" s="10" t="n">
        <f aca="false">MOD(INT($C9/2^Y$3),2)</f>
        <v>1</v>
      </c>
    </row>
    <row r="10" customFormat="false" ht="12.8" hidden="false" customHeight="false" outlineLevel="0" collapsed="false">
      <c r="A10" s="9" t="s">
        <v>19</v>
      </c>
      <c r="B10" s="2" t="s">
        <v>20</v>
      </c>
      <c r="C10" s="1" t="n">
        <f aca="false">-C4</f>
        <v>-3307</v>
      </c>
      <c r="E10" s="1" t="s">
        <v>21</v>
      </c>
      <c r="F10" s="1" t="s">
        <v>22</v>
      </c>
      <c r="G10" s="3" t="n">
        <f aca="false">MOD(INT($C10/2^G$3),2)</f>
        <v>1</v>
      </c>
      <c r="H10" s="3" t="n">
        <f aca="false">MOD(INT($C10/2^H$3),2)</f>
        <v>1</v>
      </c>
      <c r="I10" s="3" t="n">
        <f aca="false">MOD(INT($C10/2^I$3),2)</f>
        <v>1</v>
      </c>
      <c r="J10" s="3" t="n">
        <f aca="false">MOD(INT($C10/2^J$3),2)</f>
        <v>1</v>
      </c>
      <c r="K10" s="3" t="s">
        <v>4</v>
      </c>
      <c r="L10" s="3" t="n">
        <f aca="false">MOD(INT($C10/2^L$3),2)</f>
        <v>0</v>
      </c>
      <c r="M10" s="3" t="n">
        <f aca="false">MOD(INT($C10/2^M$3),2)</f>
        <v>0</v>
      </c>
      <c r="N10" s="3" t="n">
        <f aca="false">MOD(INT($C10/2^N$3),2)</f>
        <v>1</v>
      </c>
      <c r="O10" s="3" t="n">
        <f aca="false">MOD(INT($C10/2^O$3),2)</f>
        <v>1</v>
      </c>
      <c r="P10" s="3" t="s">
        <v>4</v>
      </c>
      <c r="Q10" s="3" t="n">
        <f aca="false">MOD(INT($C10/2^Q$3),2)</f>
        <v>0</v>
      </c>
      <c r="R10" s="3" t="n">
        <f aca="false">MOD(INT($C10/2^R$3),2)</f>
        <v>0</v>
      </c>
      <c r="S10" s="3" t="n">
        <f aca="false">MOD(INT($C10/2^S$3),2)</f>
        <v>0</v>
      </c>
      <c r="T10" s="3" t="n">
        <f aca="false">MOD(INT($C10/2^T$3),2)</f>
        <v>1</v>
      </c>
      <c r="U10" s="3" t="s">
        <v>4</v>
      </c>
      <c r="V10" s="3" t="n">
        <f aca="false">MOD(INT($C10/2^V$3),2)</f>
        <v>0</v>
      </c>
      <c r="W10" s="3" t="n">
        <f aca="false">MOD(INT($C10/2^W$3),2)</f>
        <v>1</v>
      </c>
      <c r="X10" s="3" t="n">
        <f aca="false">MOD(INT($C10/2^X$3),2)</f>
        <v>0</v>
      </c>
      <c r="Y10" s="10" t="n">
        <f aca="false">MOD(INT($C10/2^Y$3),2)</f>
        <v>1</v>
      </c>
    </row>
    <row r="11" customFormat="false" ht="12.8" hidden="false" customHeight="false" outlineLevel="0" collapsed="false">
      <c r="A11" s="9" t="s">
        <v>23</v>
      </c>
      <c r="B11" s="2" t="s">
        <v>24</v>
      </c>
      <c r="C11" s="1" t="n">
        <f aca="false">-C5</f>
        <v>-20458</v>
      </c>
      <c r="E11" s="1" t="s">
        <v>25</v>
      </c>
      <c r="F11" s="1" t="s">
        <v>26</v>
      </c>
      <c r="G11" s="3" t="n">
        <f aca="false">MOD(INT($C11/2^G$3),2)</f>
        <v>1</v>
      </c>
      <c r="H11" s="3" t="n">
        <f aca="false">MOD(INT($C11/2^H$3),2)</f>
        <v>0</v>
      </c>
      <c r="I11" s="3" t="n">
        <f aca="false">MOD(INT($C11/2^I$3),2)</f>
        <v>1</v>
      </c>
      <c r="J11" s="3" t="n">
        <f aca="false">MOD(INT($C11/2^J$3),2)</f>
        <v>1</v>
      </c>
      <c r="K11" s="3" t="s">
        <v>4</v>
      </c>
      <c r="L11" s="3" t="n">
        <f aca="false">MOD(INT($C11/2^L$3),2)</f>
        <v>0</v>
      </c>
      <c r="M11" s="3" t="n">
        <f aca="false">MOD(INT($C11/2^M$3),2)</f>
        <v>0</v>
      </c>
      <c r="N11" s="3" t="n">
        <f aca="false">MOD(INT($C11/2^N$3),2)</f>
        <v>0</v>
      </c>
      <c r="O11" s="3" t="n">
        <f aca="false">MOD(INT($C11/2^O$3),2)</f>
        <v>0</v>
      </c>
      <c r="P11" s="3" t="s">
        <v>4</v>
      </c>
      <c r="Q11" s="3" t="n">
        <f aca="false">MOD(INT($C11/2^Q$3),2)</f>
        <v>0</v>
      </c>
      <c r="R11" s="3" t="n">
        <f aca="false">MOD(INT($C11/2^R$3),2)</f>
        <v>0</v>
      </c>
      <c r="S11" s="3" t="n">
        <f aca="false">MOD(INT($C11/2^S$3),2)</f>
        <v>0</v>
      </c>
      <c r="T11" s="3" t="n">
        <f aca="false">MOD(INT($C11/2^T$3),2)</f>
        <v>1</v>
      </c>
      <c r="U11" s="3" t="s">
        <v>4</v>
      </c>
      <c r="V11" s="3" t="n">
        <f aca="false">MOD(INT($C11/2^V$3),2)</f>
        <v>0</v>
      </c>
      <c r="W11" s="3" t="n">
        <f aca="false">MOD(INT($C11/2^W$3),2)</f>
        <v>1</v>
      </c>
      <c r="X11" s="3" t="n">
        <f aca="false">MOD(INT($C11/2^X$3),2)</f>
        <v>1</v>
      </c>
      <c r="Y11" s="10" t="n">
        <f aca="false">MOD(INT($C11/2^Y$3),2)</f>
        <v>0</v>
      </c>
    </row>
    <row r="12" customFormat="false" ht="12.8" hidden="false" customHeight="false" outlineLevel="0" collapsed="false">
      <c r="A12" s="9" t="s">
        <v>27</v>
      </c>
      <c r="B12" s="2" t="s">
        <v>28</v>
      </c>
      <c r="C12" s="1" t="n">
        <f aca="false">-C6</f>
        <v>-23765</v>
      </c>
      <c r="E12" s="1" t="s">
        <v>29</v>
      </c>
      <c r="F12" s="1" t="s">
        <v>30</v>
      </c>
      <c r="G12" s="3" t="n">
        <f aca="false">MOD(INT($C12/2^G$3),2)</f>
        <v>1</v>
      </c>
      <c r="H12" s="3" t="n">
        <f aca="false">MOD(INT($C12/2^H$3),2)</f>
        <v>0</v>
      </c>
      <c r="I12" s="3" t="n">
        <f aca="false">MOD(INT($C12/2^I$3),2)</f>
        <v>1</v>
      </c>
      <c r="J12" s="3" t="n">
        <f aca="false">MOD(INT($C12/2^J$3),2)</f>
        <v>0</v>
      </c>
      <c r="K12" s="3" t="s">
        <v>4</v>
      </c>
      <c r="L12" s="3" t="n">
        <f aca="false">MOD(INT($C12/2^L$3),2)</f>
        <v>0</v>
      </c>
      <c r="M12" s="3" t="n">
        <f aca="false">MOD(INT($C12/2^M$3),2)</f>
        <v>0</v>
      </c>
      <c r="N12" s="3" t="n">
        <f aca="false">MOD(INT($C12/2^N$3),2)</f>
        <v>1</v>
      </c>
      <c r="O12" s="3" t="n">
        <f aca="false">MOD(INT($C12/2^O$3),2)</f>
        <v>1</v>
      </c>
      <c r="P12" s="3" t="s">
        <v>4</v>
      </c>
      <c r="Q12" s="3" t="n">
        <f aca="false">MOD(INT($C12/2^Q$3),2)</f>
        <v>0</v>
      </c>
      <c r="R12" s="3" t="n">
        <f aca="false">MOD(INT($C12/2^R$3),2)</f>
        <v>0</v>
      </c>
      <c r="S12" s="3" t="n">
        <f aca="false">MOD(INT($C12/2^S$3),2)</f>
        <v>1</v>
      </c>
      <c r="T12" s="3" t="n">
        <f aca="false">MOD(INT($C12/2^T$3),2)</f>
        <v>0</v>
      </c>
      <c r="U12" s="3" t="s">
        <v>4</v>
      </c>
      <c r="V12" s="3" t="n">
        <f aca="false">MOD(INT($C12/2^V$3),2)</f>
        <v>1</v>
      </c>
      <c r="W12" s="3" t="n">
        <f aca="false">MOD(INT($C12/2^W$3),2)</f>
        <v>0</v>
      </c>
      <c r="X12" s="3" t="n">
        <f aca="false">MOD(INT($C12/2^X$3),2)</f>
        <v>1</v>
      </c>
      <c r="Y12" s="10" t="n">
        <f aca="false">MOD(INT($C12/2^Y$3),2)</f>
        <v>1</v>
      </c>
    </row>
    <row r="13" customFormat="false" ht="12.8" hidden="false" customHeight="false" outlineLevel="0" collapsed="false">
      <c r="A13" s="9" t="s">
        <v>31</v>
      </c>
      <c r="B13" s="2" t="s">
        <v>32</v>
      </c>
      <c r="C13" s="1" t="n">
        <f aca="false">-C7</f>
        <v>-44223</v>
      </c>
      <c r="E13" s="1" t="s">
        <v>33</v>
      </c>
      <c r="F13" s="1" t="s">
        <v>34</v>
      </c>
      <c r="G13" s="3" t="n">
        <f aca="false">MOD(INT($C13/2^G$3),2)</f>
        <v>0</v>
      </c>
      <c r="H13" s="3" t="n">
        <f aca="false">MOD(INT($C13/2^H$3),2)</f>
        <v>1</v>
      </c>
      <c r="I13" s="3" t="n">
        <f aca="false">MOD(INT($C13/2^I$3),2)</f>
        <v>0</v>
      </c>
      <c r="J13" s="3" t="n">
        <f aca="false">MOD(INT($C13/2^J$3),2)</f>
        <v>1</v>
      </c>
      <c r="K13" s="3" t="s">
        <v>4</v>
      </c>
      <c r="L13" s="3" t="n">
        <f aca="false">MOD(INT($C13/2^L$3),2)</f>
        <v>0</v>
      </c>
      <c r="M13" s="3" t="n">
        <f aca="false">MOD(INT($C13/2^M$3),2)</f>
        <v>0</v>
      </c>
      <c r="N13" s="3" t="n">
        <f aca="false">MOD(INT($C13/2^N$3),2)</f>
        <v>1</v>
      </c>
      <c r="O13" s="3" t="n">
        <f aca="false">MOD(INT($C13/2^O$3),2)</f>
        <v>1</v>
      </c>
      <c r="P13" s="3" t="s">
        <v>4</v>
      </c>
      <c r="Q13" s="3" t="n">
        <f aca="false">MOD(INT($C13/2^Q$3),2)</f>
        <v>0</v>
      </c>
      <c r="R13" s="3" t="n">
        <f aca="false">MOD(INT($C13/2^R$3),2)</f>
        <v>1</v>
      </c>
      <c r="S13" s="3" t="n">
        <f aca="false">MOD(INT($C13/2^S$3),2)</f>
        <v>0</v>
      </c>
      <c r="T13" s="3" t="n">
        <f aca="false">MOD(INT($C13/2^T$3),2)</f>
        <v>0</v>
      </c>
      <c r="U13" s="3" t="s">
        <v>4</v>
      </c>
      <c r="V13" s="3" t="n">
        <f aca="false">MOD(INT($C13/2^V$3),2)</f>
        <v>0</v>
      </c>
      <c r="W13" s="3" t="n">
        <f aca="false">MOD(INT($C13/2^W$3),2)</f>
        <v>0</v>
      </c>
      <c r="X13" s="3" t="n">
        <f aca="false">MOD(INT($C13/2^X$3),2)</f>
        <v>0</v>
      </c>
      <c r="Y13" s="10" t="n">
        <f aca="false">MOD(INT($C13/2^Y$3),2)</f>
        <v>1</v>
      </c>
    </row>
    <row r="14" customFormat="false" ht="12.8" hidden="false" customHeight="false" outlineLevel="0" collapsed="false">
      <c r="A14" s="9" t="s">
        <v>35</v>
      </c>
      <c r="B14" s="2" t="s">
        <v>36</v>
      </c>
      <c r="C14" s="1" t="n">
        <f aca="false">-C8</f>
        <v>-17151</v>
      </c>
      <c r="E14" s="1" t="s">
        <v>37</v>
      </c>
      <c r="F14" s="1" t="s">
        <v>38</v>
      </c>
      <c r="G14" s="3" t="n">
        <f aca="false">MOD(INT($C14/2^G$3),2)</f>
        <v>1</v>
      </c>
      <c r="H14" s="3" t="n">
        <f aca="false">MOD(INT($C14/2^H$3),2)</f>
        <v>0</v>
      </c>
      <c r="I14" s="3" t="n">
        <f aca="false">MOD(INT($C14/2^I$3),2)</f>
        <v>1</v>
      </c>
      <c r="J14" s="3" t="n">
        <f aca="false">MOD(INT($C14/2^J$3),2)</f>
        <v>1</v>
      </c>
      <c r="K14" s="3" t="s">
        <v>4</v>
      </c>
      <c r="L14" s="3" t="n">
        <f aca="false">MOD(INT($C14/2^L$3),2)</f>
        <v>1</v>
      </c>
      <c r="M14" s="3" t="n">
        <f aca="false">MOD(INT($C14/2^M$3),2)</f>
        <v>1</v>
      </c>
      <c r="N14" s="3" t="n">
        <f aca="false">MOD(INT($C14/2^N$3),2)</f>
        <v>0</v>
      </c>
      <c r="O14" s="3" t="n">
        <f aca="false">MOD(INT($C14/2^O$3),2)</f>
        <v>1</v>
      </c>
      <c r="P14" s="3" t="s">
        <v>4</v>
      </c>
      <c r="Q14" s="3" t="n">
        <f aca="false">MOD(INT($C14/2^Q$3),2)</f>
        <v>0</v>
      </c>
      <c r="R14" s="3" t="n">
        <f aca="false">MOD(INT($C14/2^R$3),2)</f>
        <v>0</v>
      </c>
      <c r="S14" s="3" t="n">
        <f aca="false">MOD(INT($C14/2^S$3),2)</f>
        <v>0</v>
      </c>
      <c r="T14" s="3" t="n">
        <f aca="false">MOD(INT($C14/2^T$3),2)</f>
        <v>0</v>
      </c>
      <c r="U14" s="3" t="s">
        <v>4</v>
      </c>
      <c r="V14" s="3" t="n">
        <f aca="false">MOD(INT($C14/2^V$3),2)</f>
        <v>0</v>
      </c>
      <c r="W14" s="3" t="n">
        <f aca="false">MOD(INT($C14/2^W$3),2)</f>
        <v>0</v>
      </c>
      <c r="X14" s="3" t="n">
        <f aca="false">MOD(INT($C14/2^X$3),2)</f>
        <v>0</v>
      </c>
      <c r="Y14" s="10" t="n">
        <f aca="false">MOD(INT($C14/2^Y$3),2)</f>
        <v>1</v>
      </c>
    </row>
    <row r="15" customFormat="false" ht="12.8" hidden="false" customHeight="false" outlineLevel="0" collapsed="false">
      <c r="A15" s="9" t="s">
        <v>39</v>
      </c>
      <c r="B15" s="14" t="s">
        <v>40</v>
      </c>
      <c r="C15" s="15" t="n">
        <f aca="false">-C9</f>
        <v>-21313</v>
      </c>
      <c r="D15" s="15"/>
      <c r="E15" s="15" t="s">
        <v>41</v>
      </c>
      <c r="F15" s="15" t="s">
        <v>42</v>
      </c>
      <c r="G15" s="16" t="n">
        <f aca="false">MOD(INT($C15/2^G$3),2)</f>
        <v>1</v>
      </c>
      <c r="H15" s="16" t="n">
        <f aca="false">MOD(INT($C15/2^H$3),2)</f>
        <v>0</v>
      </c>
      <c r="I15" s="16" t="n">
        <f aca="false">MOD(INT($C15/2^I$3),2)</f>
        <v>1</v>
      </c>
      <c r="J15" s="16" t="n">
        <f aca="false">MOD(INT($C15/2^J$3),2)</f>
        <v>0</v>
      </c>
      <c r="K15" s="16" t="s">
        <v>4</v>
      </c>
      <c r="L15" s="16" t="n">
        <f aca="false">MOD(INT($C15/2^L$3),2)</f>
        <v>1</v>
      </c>
      <c r="M15" s="16" t="n">
        <f aca="false">MOD(INT($C15/2^M$3),2)</f>
        <v>1</v>
      </c>
      <c r="N15" s="16" t="n">
        <f aca="false">MOD(INT($C15/2^N$3),2)</f>
        <v>0</v>
      </c>
      <c r="O15" s="16" t="n">
        <f aca="false">MOD(INT($C15/2^O$3),2)</f>
        <v>0</v>
      </c>
      <c r="P15" s="16" t="s">
        <v>4</v>
      </c>
      <c r="Q15" s="16" t="n">
        <f aca="false">MOD(INT($C15/2^Q$3),2)</f>
        <v>1</v>
      </c>
      <c r="R15" s="16" t="n">
        <f aca="false">MOD(INT($C15/2^R$3),2)</f>
        <v>0</v>
      </c>
      <c r="S15" s="16" t="n">
        <f aca="false">MOD(INT($C15/2^S$3),2)</f>
        <v>1</v>
      </c>
      <c r="T15" s="16" t="n">
        <f aca="false">MOD(INT($C15/2^T$3),2)</f>
        <v>1</v>
      </c>
      <c r="U15" s="16" t="s">
        <v>4</v>
      </c>
      <c r="V15" s="16" t="n">
        <f aca="false">MOD(INT($C15/2^V$3),2)</f>
        <v>1</v>
      </c>
      <c r="W15" s="16" t="n">
        <f aca="false">MOD(INT($C15/2^W$3),2)</f>
        <v>1</v>
      </c>
      <c r="X15" s="16" t="n">
        <f aca="false">MOD(INT($C15/2^X$3),2)</f>
        <v>1</v>
      </c>
      <c r="Y15" s="10" t="n">
        <f aca="false">MOD(INT($C15/2^Y$3),2)</f>
        <v>1</v>
      </c>
    </row>
    <row r="16" customFormat="false" ht="12.8" hidden="false" customHeight="false" outlineLevel="0" collapsed="false">
      <c r="A16" s="17" t="s">
        <v>43</v>
      </c>
      <c r="B16" s="17"/>
      <c r="C16" s="18"/>
      <c r="D16" s="18"/>
      <c r="E16" s="18"/>
      <c r="F16" s="18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20"/>
    </row>
    <row r="17" customFormat="false" ht="12.8" hidden="false" customHeight="false" outlineLevel="0" collapsed="false">
      <c r="D17" s="4"/>
      <c r="E17" s="6"/>
      <c r="F17" s="21" t="s">
        <v>44</v>
      </c>
      <c r="G17" s="22" t="n">
        <f aca="false">IF(SUM(H17:H19)&gt;=2,1,0)</f>
        <v>0</v>
      </c>
      <c r="H17" s="22" t="n">
        <f aca="false">IF(SUM(I17:I19)&gt;=2,1,0)</f>
        <v>0</v>
      </c>
      <c r="I17" s="22" t="n">
        <f aca="false">IF(SUM(J17:J19)&gt;=2,1,0)</f>
        <v>0</v>
      </c>
      <c r="J17" s="23" t="n">
        <f aca="false">IF(SUM(L17:L19)&gt;=2,1,0)</f>
        <v>1</v>
      </c>
      <c r="K17" s="22"/>
      <c r="L17" s="22" t="n">
        <f aca="false">IF(SUM(M17:M19)&gt;=2,1,0)</f>
        <v>1</v>
      </c>
      <c r="M17" s="22" t="n">
        <f aca="false">IF(SUM(N17:N19)&gt;=2,1,0)</f>
        <v>1</v>
      </c>
      <c r="N17" s="22" t="n">
        <f aca="false">IF(SUM(O17:O19)&gt;=2,1,0)</f>
        <v>1</v>
      </c>
      <c r="O17" s="23" t="n">
        <f aca="false">IF(SUM(Q17:Q19)&gt;=2,1,0)</f>
        <v>1</v>
      </c>
      <c r="P17" s="22"/>
      <c r="Q17" s="22" t="n">
        <f aca="false">IF(SUM(R17:R19)&gt;=2,1,0)</f>
        <v>1</v>
      </c>
      <c r="R17" s="22" t="n">
        <f aca="false">IF(SUM(S17:S19)&gt;=2,1,0)</f>
        <v>1</v>
      </c>
      <c r="S17" s="22" t="n">
        <f aca="false">IF(SUM(T17:T19)&gt;=2,1,0)</f>
        <v>0</v>
      </c>
      <c r="T17" s="23" t="n">
        <f aca="false">IF(SUM(V17:V19)&gt;=2,1,0)</f>
        <v>1</v>
      </c>
      <c r="U17" s="22"/>
      <c r="V17" s="22" t="n">
        <f aca="false">IF(SUM(W17:W19)&gt;=2,1,0)</f>
        <v>0</v>
      </c>
      <c r="W17" s="22" t="n">
        <f aca="false">IF(SUM(X17:X19)&gt;=2,1,0)</f>
        <v>1</v>
      </c>
      <c r="X17" s="22" t="n">
        <f aca="false">IF(SUM(Y17:Y19)&gt;=2,1,0)</f>
        <v>0</v>
      </c>
      <c r="Y17" s="23" t="n">
        <v>0</v>
      </c>
      <c r="Z17" s="7"/>
      <c r="AA17" s="6"/>
      <c r="AB17" s="6"/>
      <c r="AC17" s="6"/>
      <c r="AD17" s="6"/>
      <c r="AE17" s="6"/>
      <c r="AF17" s="6"/>
      <c r="AG17" s="6"/>
      <c r="AH17" s="24"/>
    </row>
    <row r="18" customFormat="false" ht="12.8" hidden="false" customHeight="true" outlineLevel="0" collapsed="false">
      <c r="D18" s="9"/>
      <c r="E18" s="1" t="s">
        <v>45</v>
      </c>
      <c r="G18" s="3" t="n">
        <f aca="false">G4</f>
        <v>0</v>
      </c>
      <c r="H18" s="3" t="n">
        <f aca="false">H4</f>
        <v>0</v>
      </c>
      <c r="I18" s="3" t="n">
        <f aca="false">I4</f>
        <v>0</v>
      </c>
      <c r="J18" s="3" t="n">
        <f aca="false">J4</f>
        <v>0</v>
      </c>
      <c r="K18" s="3" t="str">
        <f aca="false">K4</f>
        <v>.</v>
      </c>
      <c r="L18" s="3" t="n">
        <f aca="false">L4</f>
        <v>1</v>
      </c>
      <c r="M18" s="3" t="n">
        <f aca="false">M4</f>
        <v>1</v>
      </c>
      <c r="N18" s="3" t="n">
        <f aca="false">N4</f>
        <v>0</v>
      </c>
      <c r="O18" s="3" t="n">
        <f aca="false">O4</f>
        <v>0</v>
      </c>
      <c r="P18" s="3" t="str">
        <f aca="false">P4</f>
        <v>.</v>
      </c>
      <c r="Q18" s="3" t="n">
        <f aca="false">Q4</f>
        <v>1</v>
      </c>
      <c r="R18" s="3" t="n">
        <f aca="false">R4</f>
        <v>1</v>
      </c>
      <c r="S18" s="3" t="n">
        <f aca="false">S4</f>
        <v>1</v>
      </c>
      <c r="T18" s="3" t="n">
        <f aca="false">T4</f>
        <v>0</v>
      </c>
      <c r="U18" s="3" t="str">
        <f aca="false">U4</f>
        <v>.</v>
      </c>
      <c r="V18" s="3" t="n">
        <f aca="false">V4</f>
        <v>1</v>
      </c>
      <c r="W18" s="3" t="n">
        <f aca="false">W4</f>
        <v>0</v>
      </c>
      <c r="X18" s="3" t="n">
        <f aca="false">X4</f>
        <v>1</v>
      </c>
      <c r="Y18" s="3" t="n">
        <f aca="false">Y4</f>
        <v>1</v>
      </c>
      <c r="AC18" s="1" t="s">
        <v>46</v>
      </c>
      <c r="AE18" s="3" t="n">
        <f aca="false">C4</f>
        <v>3307</v>
      </c>
      <c r="AF18" s="25" t="s">
        <v>47</v>
      </c>
      <c r="AG18" s="25"/>
      <c r="AH18" s="25"/>
    </row>
    <row r="19" customFormat="false" ht="12.8" hidden="false" customHeight="false" outlineLevel="0" collapsed="false">
      <c r="D19" s="9" t="s">
        <v>48</v>
      </c>
      <c r="E19" s="1" t="s">
        <v>49</v>
      </c>
      <c r="G19" s="3" t="n">
        <f aca="false">G5</f>
        <v>0</v>
      </c>
      <c r="H19" s="3" t="n">
        <f aca="false">H5</f>
        <v>1</v>
      </c>
      <c r="I19" s="3" t="n">
        <f aca="false">I5</f>
        <v>0</v>
      </c>
      <c r="J19" s="3" t="n">
        <f aca="false">J5</f>
        <v>0</v>
      </c>
      <c r="K19" s="3" t="str">
        <f aca="false">K5</f>
        <v>.</v>
      </c>
      <c r="L19" s="3" t="n">
        <f aca="false">L5</f>
        <v>1</v>
      </c>
      <c r="M19" s="3" t="n">
        <f aca="false">M5</f>
        <v>1</v>
      </c>
      <c r="N19" s="3" t="n">
        <f aca="false">N5</f>
        <v>1</v>
      </c>
      <c r="O19" s="3" t="n">
        <f aca="false">O5</f>
        <v>1</v>
      </c>
      <c r="P19" s="3" t="str">
        <f aca="false">P5</f>
        <v>.</v>
      </c>
      <c r="Q19" s="3" t="n">
        <f aca="false">Q5</f>
        <v>1</v>
      </c>
      <c r="R19" s="3" t="n">
        <f aca="false">R5</f>
        <v>1</v>
      </c>
      <c r="S19" s="3" t="n">
        <f aca="false">S5</f>
        <v>1</v>
      </c>
      <c r="T19" s="3" t="n">
        <f aca="false">T5</f>
        <v>0</v>
      </c>
      <c r="U19" s="3" t="str">
        <f aca="false">U5</f>
        <v>.</v>
      </c>
      <c r="V19" s="3" t="n">
        <f aca="false">V5</f>
        <v>1</v>
      </c>
      <c r="W19" s="3" t="n">
        <f aca="false">W5</f>
        <v>0</v>
      </c>
      <c r="X19" s="3" t="n">
        <f aca="false">X5</f>
        <v>1</v>
      </c>
      <c r="Y19" s="3" t="n">
        <f aca="false">Y5</f>
        <v>0</v>
      </c>
      <c r="AB19" s="1" t="s">
        <v>48</v>
      </c>
      <c r="AC19" s="1" t="s">
        <v>50</v>
      </c>
      <c r="AE19" s="3" t="n">
        <f aca="false">C5</f>
        <v>20458</v>
      </c>
      <c r="AF19" s="25"/>
      <c r="AG19" s="25"/>
      <c r="AH19" s="25"/>
    </row>
    <row r="20" customFormat="false" ht="12.8" hidden="false" customHeight="false" outlineLevel="0" collapsed="false">
      <c r="D20" s="9"/>
      <c r="E20" s="26"/>
      <c r="F20" s="26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AC20" s="26"/>
      <c r="AD20" s="26"/>
      <c r="AE20" s="28"/>
      <c r="AF20" s="25"/>
      <c r="AG20" s="25"/>
      <c r="AH20" s="25"/>
    </row>
    <row r="21" customFormat="false" ht="12.8" hidden="false" customHeight="false" outlineLevel="0" collapsed="false">
      <c r="D21" s="9"/>
      <c r="G21" s="3" t="n">
        <f aca="false">IF(SUM(G17:G19)&gt;=2,SUM(G17:G19)-2,SUM(G17:G19))</f>
        <v>0</v>
      </c>
      <c r="H21" s="3" t="n">
        <f aca="false">IF(SUM(H17:H19)&gt;=2,SUM(H17:H19)-2,SUM(H17:H19))</f>
        <v>1</v>
      </c>
      <c r="I21" s="3" t="n">
        <f aca="false">IF(SUM(I17:I19)&gt;=2,SUM(I17:I19)-2,SUM(I17:I19))</f>
        <v>0</v>
      </c>
      <c r="J21" s="3" t="n">
        <f aca="false">IF(SUM(J17:J19)&gt;=2,SUM(J17:J19)-2,SUM(J17:J19))</f>
        <v>1</v>
      </c>
      <c r="K21" s="3" t="s">
        <v>4</v>
      </c>
      <c r="L21" s="3" t="n">
        <f aca="false">IF(SUM(L17:L19)&gt;=2,SUM(L17:L19)-2,SUM(L17:L19))</f>
        <v>1</v>
      </c>
      <c r="M21" s="3" t="n">
        <f aca="false">IF(SUM(M17:M19)&gt;=2,SUM(M17:M19)-2,SUM(M17:M19))</f>
        <v>1</v>
      </c>
      <c r="N21" s="3" t="n">
        <f aca="false">IF(SUM(N17:N19)&gt;=2,SUM(N17:N19)-2,SUM(N17:N19))</f>
        <v>0</v>
      </c>
      <c r="O21" s="3" t="n">
        <f aca="false">IF(SUM(O17:O19)&gt;=2,SUM(O17:O19)-2,SUM(O17:O19))</f>
        <v>0</v>
      </c>
      <c r="P21" s="3" t="s">
        <v>4</v>
      </c>
      <c r="Q21" s="3" t="n">
        <f aca="false">IF(SUM(Q17:Q19)&gt;=2,SUM(Q17:Q19)-2,SUM(Q17:Q19))</f>
        <v>1</v>
      </c>
      <c r="R21" s="3" t="n">
        <f aca="false">IF(SUM(R17:R19)&gt;=2,SUM(R17:R19)-2,SUM(R17:R19))</f>
        <v>1</v>
      </c>
      <c r="S21" s="3" t="n">
        <f aca="false">IF(SUM(S17:S19)&gt;=2,SUM(S17:S19)-2,SUM(S17:S19))</f>
        <v>0</v>
      </c>
      <c r="T21" s="3" t="n">
        <f aca="false">IF(SUM(T17:T19)&gt;=2,SUM(T17:T19)-2,SUM(T17:T19))</f>
        <v>1</v>
      </c>
      <c r="U21" s="3" t="s">
        <v>4</v>
      </c>
      <c r="V21" s="3" t="n">
        <f aca="false">IF(SUM(V17:V19)&gt;=2,SUM(V17:V19)-2,SUM(V17:V19))</f>
        <v>0</v>
      </c>
      <c r="W21" s="3" t="n">
        <f aca="false">IF(SUM(W17:W19)&gt;=2,SUM(W17:W19)-2,SUM(W17:W19))</f>
        <v>1</v>
      </c>
      <c r="X21" s="3" t="n">
        <f aca="false">IF(SUM(X17:X19)&gt;=2,SUM(X17:X19)-2,SUM(X17:X19))</f>
        <v>0</v>
      </c>
      <c r="Y21" s="3" t="n">
        <f aca="false">IF(SUM(Y17:Y19)&gt;=2,SUM(Y17:Y19)-2,SUM(Y17:Y19))</f>
        <v>1</v>
      </c>
      <c r="Z21" s="3" t="s">
        <v>51</v>
      </c>
      <c r="AA21" s="1" t="n">
        <f aca="false">Y21*2^0+X21*2^1+W21*2^2+V21*2^3+T21*2^4+S21*2^5+R21*2^6+Q21*2^7+O21*2^8+N21*2^9+M21*2^10+L21*2^11+J21*2^12+I21*2^13+H21*2^14+G21*2^15</f>
        <v>23765</v>
      </c>
      <c r="AE21" s="3" t="n">
        <f aca="false">AE18+AE19</f>
        <v>23765</v>
      </c>
      <c r="AF21" s="25"/>
      <c r="AG21" s="25"/>
      <c r="AH21" s="25"/>
    </row>
    <row r="22" customFormat="false" ht="12.8" hidden="false" customHeight="false" outlineLevel="0" collapsed="false">
      <c r="D22" s="9"/>
      <c r="F22" s="29"/>
      <c r="AF22" s="25"/>
      <c r="AG22" s="25"/>
      <c r="AH22" s="25"/>
    </row>
    <row r="23" customFormat="false" ht="12.8" hidden="false" customHeight="false" outlineLevel="0" collapsed="false">
      <c r="D23" s="30"/>
      <c r="E23" s="18"/>
      <c r="F23" s="18"/>
      <c r="G23" s="31" t="s">
        <v>52</v>
      </c>
      <c r="H23" s="31"/>
      <c r="I23" s="31"/>
      <c r="J23" s="32" t="n">
        <f aca="false">IF(SUM(G17:G19)&gt;=2,1,0)</f>
        <v>0</v>
      </c>
      <c r="K23" s="19"/>
      <c r="L23" s="31" t="s">
        <v>53</v>
      </c>
      <c r="M23" s="31"/>
      <c r="N23" s="31"/>
      <c r="O23" s="32" t="n">
        <f aca="false">IF(MOD(SUM(Q21:T21)+SUM(V21:Y21),2)=0,1,0)</f>
        <v>0</v>
      </c>
      <c r="P23" s="19"/>
      <c r="Q23" s="31" t="s">
        <v>54</v>
      </c>
      <c r="R23" s="31"/>
      <c r="S23" s="31"/>
      <c r="T23" s="32" t="n">
        <f aca="false">T17</f>
        <v>1</v>
      </c>
      <c r="U23" s="19"/>
      <c r="V23" s="31" t="s">
        <v>55</v>
      </c>
      <c r="W23" s="31"/>
      <c r="X23" s="31"/>
      <c r="Y23" s="32" t="n">
        <f aca="false">IF(AA21=0,1,0)</f>
        <v>0</v>
      </c>
      <c r="Z23" s="19"/>
      <c r="AA23" s="33" t="s">
        <v>56</v>
      </c>
      <c r="AB23" s="32" t="n">
        <f aca="false">G21</f>
        <v>0</v>
      </c>
      <c r="AC23" s="18"/>
      <c r="AD23" s="18" t="s">
        <v>57</v>
      </c>
      <c r="AE23" s="32" t="n">
        <f aca="false">MOD(G17+J23,2)</f>
        <v>0</v>
      </c>
      <c r="AF23" s="25"/>
      <c r="AG23" s="25"/>
      <c r="AH23" s="25"/>
    </row>
    <row r="25" customFormat="false" ht="12.8" hidden="false" customHeight="false" outlineLevel="0" collapsed="false">
      <c r="D25" s="4"/>
      <c r="E25" s="6"/>
      <c r="F25" s="21" t="s">
        <v>44</v>
      </c>
      <c r="G25" s="22" t="n">
        <f aca="false">IF(SUM(H25:H27)&gt;=2,1,0)</f>
        <v>1</v>
      </c>
      <c r="H25" s="22" t="n">
        <f aca="false">IF(SUM(I25:I27)&gt;=2,1,0)</f>
        <v>0</v>
      </c>
      <c r="I25" s="22" t="n">
        <f aca="false">IF(SUM(J25:J27)&gt;=2,1,0)</f>
        <v>1</v>
      </c>
      <c r="J25" s="23" t="n">
        <f aca="false">IF(SUM(L25:L27)&gt;=2,1,0)</f>
        <v>1</v>
      </c>
      <c r="K25" s="22"/>
      <c r="L25" s="22" t="n">
        <f aca="false">IF(SUM(M25:M27)&gt;=2,1,0)</f>
        <v>1</v>
      </c>
      <c r="M25" s="22" t="n">
        <f aca="false">IF(SUM(N25:N27)&gt;=2,1,0)</f>
        <v>1</v>
      </c>
      <c r="N25" s="22" t="n">
        <f aca="false">IF(SUM(O25:O27)&gt;=2,1,0)</f>
        <v>1</v>
      </c>
      <c r="O25" s="23" t="n">
        <f aca="false">IF(SUM(Q25:Q27)&gt;=2,1,0)</f>
        <v>1</v>
      </c>
      <c r="P25" s="22"/>
      <c r="Q25" s="22" t="n">
        <f aca="false">IF(SUM(R25:R27)&gt;=2,1,0)</f>
        <v>1</v>
      </c>
      <c r="R25" s="22" t="n">
        <f aca="false">IF(SUM(S25:S27)&gt;=2,1,0)</f>
        <v>0</v>
      </c>
      <c r="S25" s="22" t="n">
        <f aca="false">IF(SUM(T25:T27)&gt;=2,1,0)</f>
        <v>0</v>
      </c>
      <c r="T25" s="23" t="n">
        <f aca="false">IF(SUM(V25:V27)&gt;=2,1,0)</f>
        <v>0</v>
      </c>
      <c r="U25" s="22"/>
      <c r="V25" s="22" t="n">
        <f aca="false">IF(SUM(W25:W27)&gt;=2,1,0)</f>
        <v>0</v>
      </c>
      <c r="W25" s="22" t="n">
        <f aca="false">IF(SUM(X25:X27)&gt;=2,1,0)</f>
        <v>0</v>
      </c>
      <c r="X25" s="22" t="n">
        <f aca="false">IF(SUM(Y25:Y27)&gt;=2,1,0)</f>
        <v>0</v>
      </c>
      <c r="Y25" s="23" t="n">
        <v>0</v>
      </c>
      <c r="Z25" s="7"/>
      <c r="AA25" s="6"/>
      <c r="AB25" s="6"/>
      <c r="AC25" s="6"/>
      <c r="AD25" s="6"/>
      <c r="AE25" s="6"/>
      <c r="AF25" s="6"/>
      <c r="AG25" s="6"/>
      <c r="AH25" s="34"/>
    </row>
    <row r="26" customFormat="false" ht="12.8" hidden="false" customHeight="true" outlineLevel="0" collapsed="false">
      <c r="D26" s="9"/>
      <c r="E26" s="1" t="s">
        <v>49</v>
      </c>
      <c r="G26" s="3" t="n">
        <f aca="false">G5</f>
        <v>0</v>
      </c>
      <c r="H26" s="3" t="n">
        <f aca="false">H5</f>
        <v>1</v>
      </c>
      <c r="I26" s="3" t="n">
        <f aca="false">I5</f>
        <v>0</v>
      </c>
      <c r="J26" s="3" t="n">
        <f aca="false">J5</f>
        <v>0</v>
      </c>
      <c r="K26" s="3" t="str">
        <f aca="false">K5</f>
        <v>.</v>
      </c>
      <c r="L26" s="3" t="n">
        <f aca="false">L5</f>
        <v>1</v>
      </c>
      <c r="M26" s="3" t="n">
        <f aca="false">M5</f>
        <v>1</v>
      </c>
      <c r="N26" s="3" t="n">
        <f aca="false">N5</f>
        <v>1</v>
      </c>
      <c r="O26" s="3" t="n">
        <f aca="false">O5</f>
        <v>1</v>
      </c>
      <c r="P26" s="3" t="str">
        <f aca="false">P5</f>
        <v>.</v>
      </c>
      <c r="Q26" s="3" t="n">
        <f aca="false">Q5</f>
        <v>1</v>
      </c>
      <c r="R26" s="3" t="n">
        <f aca="false">R5</f>
        <v>1</v>
      </c>
      <c r="S26" s="3" t="n">
        <f aca="false">S5</f>
        <v>1</v>
      </c>
      <c r="T26" s="3" t="n">
        <f aca="false">T5</f>
        <v>0</v>
      </c>
      <c r="U26" s="3" t="str">
        <f aca="false">U5</f>
        <v>.</v>
      </c>
      <c r="V26" s="3" t="n">
        <f aca="false">V5</f>
        <v>1</v>
      </c>
      <c r="W26" s="3" t="n">
        <f aca="false">W5</f>
        <v>0</v>
      </c>
      <c r="X26" s="3" t="n">
        <f aca="false">X5</f>
        <v>1</v>
      </c>
      <c r="Y26" s="3" t="n">
        <f aca="false">Y5</f>
        <v>0</v>
      </c>
      <c r="AC26" s="1" t="s">
        <v>50</v>
      </c>
      <c r="AE26" s="3" t="n">
        <f aca="false">C5</f>
        <v>20458</v>
      </c>
      <c r="AF26" s="25" t="s">
        <v>58</v>
      </c>
      <c r="AG26" s="25"/>
      <c r="AH26" s="25"/>
    </row>
    <row r="27" customFormat="false" ht="12.8" hidden="false" customHeight="false" outlineLevel="0" collapsed="false">
      <c r="D27" s="9" t="s">
        <v>48</v>
      </c>
      <c r="E27" s="1" t="s">
        <v>59</v>
      </c>
      <c r="G27" s="3" t="n">
        <f aca="false">G6</f>
        <v>0</v>
      </c>
      <c r="H27" s="3" t="n">
        <f aca="false">H6</f>
        <v>1</v>
      </c>
      <c r="I27" s="3" t="n">
        <f aca="false">I6</f>
        <v>0</v>
      </c>
      <c r="J27" s="3" t="n">
        <f aca="false">J6</f>
        <v>1</v>
      </c>
      <c r="K27" s="3" t="str">
        <f aca="false">K6</f>
        <v>.</v>
      </c>
      <c r="L27" s="3" t="n">
        <f aca="false">L6</f>
        <v>1</v>
      </c>
      <c r="M27" s="3" t="n">
        <f aca="false">M6</f>
        <v>1</v>
      </c>
      <c r="N27" s="3" t="n">
        <f aca="false">N6</f>
        <v>0</v>
      </c>
      <c r="O27" s="3" t="n">
        <f aca="false">O6</f>
        <v>0</v>
      </c>
      <c r="P27" s="3" t="str">
        <f aca="false">P6</f>
        <v>.</v>
      </c>
      <c r="Q27" s="3" t="n">
        <f aca="false">Q6</f>
        <v>1</v>
      </c>
      <c r="R27" s="3" t="n">
        <f aca="false">R6</f>
        <v>1</v>
      </c>
      <c r="S27" s="3" t="n">
        <f aca="false">S6</f>
        <v>0</v>
      </c>
      <c r="T27" s="3" t="n">
        <f aca="false">T6</f>
        <v>1</v>
      </c>
      <c r="U27" s="3" t="str">
        <f aca="false">U6</f>
        <v>.</v>
      </c>
      <c r="V27" s="3" t="n">
        <f aca="false">V6</f>
        <v>0</v>
      </c>
      <c r="W27" s="3" t="n">
        <f aca="false">W6</f>
        <v>1</v>
      </c>
      <c r="X27" s="3" t="n">
        <f aca="false">X6</f>
        <v>0</v>
      </c>
      <c r="Y27" s="3" t="n">
        <f aca="false">Y6</f>
        <v>1</v>
      </c>
      <c r="AB27" s="1" t="s">
        <v>48</v>
      </c>
      <c r="AC27" s="1" t="s">
        <v>60</v>
      </c>
      <c r="AE27" s="3" t="n">
        <f aca="false">C6</f>
        <v>23765</v>
      </c>
      <c r="AF27" s="25"/>
      <c r="AG27" s="25"/>
      <c r="AH27" s="25"/>
    </row>
    <row r="28" customFormat="false" ht="12.8" hidden="false" customHeight="false" outlineLevel="0" collapsed="false">
      <c r="D28" s="9"/>
      <c r="E28" s="26"/>
      <c r="F28" s="26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AC28" s="26"/>
      <c r="AD28" s="26"/>
      <c r="AE28" s="28"/>
      <c r="AF28" s="25"/>
      <c r="AG28" s="25"/>
      <c r="AH28" s="25"/>
    </row>
    <row r="29" customFormat="false" ht="12.8" hidden="false" customHeight="false" outlineLevel="0" collapsed="false">
      <c r="D29" s="9"/>
      <c r="G29" s="3" t="n">
        <f aca="false">IF(SUM(G25:G27)&gt;=2,SUM(G25:G27)-2,SUM(G25:G27))</f>
        <v>1</v>
      </c>
      <c r="H29" s="3" t="n">
        <f aca="false">IF(SUM(H25:H27)&gt;=2,SUM(H25:H27)-2,SUM(H25:H27))</f>
        <v>0</v>
      </c>
      <c r="I29" s="3" t="n">
        <f aca="false">IF(SUM(I25:I27)&gt;=2,SUM(I25:I27)-2,SUM(I25:I27))</f>
        <v>1</v>
      </c>
      <c r="J29" s="3" t="n">
        <f aca="false">IF(SUM(J25:J27)&gt;=2,SUM(J25:J27)-2,SUM(J25:J27))</f>
        <v>0</v>
      </c>
      <c r="K29" s="3" t="s">
        <v>4</v>
      </c>
      <c r="L29" s="3" t="n">
        <f aca="false">IF(SUM(L25:L27)&gt;=2,SUM(L25:L27)-2,SUM(L25:L27))</f>
        <v>1</v>
      </c>
      <c r="M29" s="3" t="n">
        <f aca="false">IF(SUM(M25:M27)&gt;=2,SUM(M25:M27)-2,SUM(M25:M27))</f>
        <v>1</v>
      </c>
      <c r="N29" s="3" t="n">
        <f aca="false">IF(SUM(N25:N27)&gt;=2,SUM(N25:N27)-2,SUM(N25:N27))</f>
        <v>0</v>
      </c>
      <c r="O29" s="3" t="n">
        <f aca="false">IF(SUM(O25:O27)&gt;=2,SUM(O25:O27)-2,SUM(O25:O27))</f>
        <v>0</v>
      </c>
      <c r="P29" s="3" t="s">
        <v>4</v>
      </c>
      <c r="Q29" s="3" t="n">
        <f aca="false">IF(SUM(Q25:Q27)&gt;=2,SUM(Q25:Q27)-2,SUM(Q25:Q27))</f>
        <v>1</v>
      </c>
      <c r="R29" s="3" t="n">
        <f aca="false">IF(SUM(R25:R27)&gt;=2,SUM(R25:R27)-2,SUM(R25:R27))</f>
        <v>0</v>
      </c>
      <c r="S29" s="3" t="n">
        <f aca="false">IF(SUM(S25:S27)&gt;=2,SUM(S25:S27)-2,SUM(S25:S27))</f>
        <v>1</v>
      </c>
      <c r="T29" s="3" t="n">
        <f aca="false">IF(SUM(T25:T27)&gt;=2,SUM(T25:T27)-2,SUM(T25:T27))</f>
        <v>1</v>
      </c>
      <c r="U29" s="3" t="s">
        <v>4</v>
      </c>
      <c r="V29" s="3" t="n">
        <f aca="false">IF(SUM(V25:V27)&gt;=2,SUM(V25:V27)-2,SUM(V25:V27))</f>
        <v>1</v>
      </c>
      <c r="W29" s="3" t="n">
        <f aca="false">IF(SUM(W25:W27)&gt;=2,SUM(W25:W27)-2,SUM(W25:W27))</f>
        <v>1</v>
      </c>
      <c r="X29" s="3" t="n">
        <f aca="false">IF(SUM(X25:X27)&gt;=2,SUM(X25:X27)-2,SUM(X25:X27))</f>
        <v>1</v>
      </c>
      <c r="Y29" s="3" t="n">
        <f aca="false">IF(SUM(Y25:Y27)&gt;=2,SUM(Y25:Y27)-2,SUM(Y25:Y27))</f>
        <v>1</v>
      </c>
      <c r="Z29" s="3" t="s">
        <v>51</v>
      </c>
      <c r="AA29" s="1" t="n">
        <f aca="false">IF(G29=0,Y29*2^0+X29*2^1+W29*2^2+V29*2^3+T29*2^4+S29*2^5+R29*2^6+Q29*2^7+O29*2^8+N29*2^9+M29*2^10+L29*2^11+J29*2^12+I29*2^13+H29*2^14+G29*2^15,Y29*2^0+X29*2^1+W29*2^2+V29*2^3+T29*2^4+S29*2^5+R29*2^6+Q29*2^7+O29*2^8+N29*2^9+M29*2^10+L29*2^11+J29*2^12+I29*2^13+H29*2^14+G29*2^15-65536)</f>
        <v>-21313</v>
      </c>
      <c r="AE29" s="3" t="n">
        <f aca="false">AE26+AE27</f>
        <v>44223</v>
      </c>
      <c r="AF29" s="25"/>
      <c r="AG29" s="25"/>
      <c r="AH29" s="25"/>
    </row>
    <row r="30" customFormat="false" ht="12.8" hidden="false" customHeight="false" outlineLevel="0" collapsed="false">
      <c r="D30" s="9"/>
      <c r="F30" s="29"/>
      <c r="AF30" s="25"/>
      <c r="AG30" s="25"/>
      <c r="AH30" s="25"/>
    </row>
    <row r="31" customFormat="false" ht="12.8" hidden="false" customHeight="false" outlineLevel="0" collapsed="false">
      <c r="D31" s="30"/>
      <c r="E31" s="18"/>
      <c r="F31" s="18"/>
      <c r="G31" s="31" t="s">
        <v>52</v>
      </c>
      <c r="H31" s="31"/>
      <c r="I31" s="31"/>
      <c r="J31" s="32" t="n">
        <f aca="false">IF(SUM(G25:G27)&gt;=2,1,0)</f>
        <v>0</v>
      </c>
      <c r="K31" s="19"/>
      <c r="L31" s="31" t="s">
        <v>53</v>
      </c>
      <c r="M31" s="31"/>
      <c r="N31" s="31"/>
      <c r="O31" s="32" t="n">
        <f aca="false">IF(MOD(SUM(Q29:T29)+SUM(V29:Y29),2)=0,1,0)</f>
        <v>0</v>
      </c>
      <c r="P31" s="19"/>
      <c r="Q31" s="31" t="s">
        <v>54</v>
      </c>
      <c r="R31" s="31"/>
      <c r="S31" s="31"/>
      <c r="T31" s="32" t="n">
        <f aca="false">T25</f>
        <v>0</v>
      </c>
      <c r="U31" s="19"/>
      <c r="V31" s="31" t="s">
        <v>55</v>
      </c>
      <c r="W31" s="31"/>
      <c r="X31" s="31"/>
      <c r="Y31" s="32" t="n">
        <f aca="false">IF(AA29=0,1,0)</f>
        <v>0</v>
      </c>
      <c r="Z31" s="19"/>
      <c r="AA31" s="33" t="s">
        <v>56</v>
      </c>
      <c r="AB31" s="32" t="n">
        <f aca="false">G29</f>
        <v>1</v>
      </c>
      <c r="AC31" s="18"/>
      <c r="AD31" s="18" t="s">
        <v>57</v>
      </c>
      <c r="AE31" s="32" t="n">
        <f aca="false">MOD(G25+J31,2)</f>
        <v>1</v>
      </c>
      <c r="AF31" s="25"/>
      <c r="AG31" s="25"/>
      <c r="AH31" s="25"/>
    </row>
    <row r="33" customFormat="false" ht="12.8" hidden="false" customHeight="false" outlineLevel="0" collapsed="false">
      <c r="D33" s="4"/>
      <c r="E33" s="6"/>
      <c r="F33" s="21" t="s">
        <v>44</v>
      </c>
      <c r="G33" s="22" t="n">
        <f aca="false">IF(SUM(H33:H35)&gt;=2,1,0)</f>
        <v>1</v>
      </c>
      <c r="H33" s="22" t="n">
        <f aca="false">IF(SUM(I33:I35)&gt;=2,1,0)</f>
        <v>1</v>
      </c>
      <c r="I33" s="22" t="n">
        <f aca="false">IF(SUM(J33:J35)&gt;=2,1,0)</f>
        <v>1</v>
      </c>
      <c r="J33" s="23" t="n">
        <f aca="false">IF(SUM(L33:L35)&gt;=2,1,0)</f>
        <v>1</v>
      </c>
      <c r="K33" s="22"/>
      <c r="L33" s="22" t="n">
        <f aca="false">IF(SUM(M33:M35)&gt;=2,1,0)</f>
        <v>1</v>
      </c>
      <c r="M33" s="22" t="n">
        <f aca="false">IF(SUM(N33:N35)&gt;=2,1,0)</f>
        <v>1</v>
      </c>
      <c r="N33" s="22" t="n">
        <f aca="false">IF(SUM(O33:O35)&gt;=2,1,0)</f>
        <v>1</v>
      </c>
      <c r="O33" s="23" t="n">
        <f aca="false">IF(SUM(Q33:Q35)&gt;=2,1,0)</f>
        <v>0</v>
      </c>
      <c r="P33" s="22"/>
      <c r="Q33" s="22" t="n">
        <f aca="false">IF(SUM(R33:R35)&gt;=2,1,0)</f>
        <v>0</v>
      </c>
      <c r="R33" s="22" t="n">
        <f aca="false">IF(SUM(S33:S35)&gt;=2,1,0)</f>
        <v>0</v>
      </c>
      <c r="S33" s="22" t="n">
        <f aca="false">IF(SUM(T33:T35)&gt;=2,1,0)</f>
        <v>0</v>
      </c>
      <c r="T33" s="23" t="n">
        <f aca="false">IF(SUM(V33:V35)&gt;=2,1,0)</f>
        <v>0</v>
      </c>
      <c r="U33" s="22"/>
      <c r="V33" s="22" t="n">
        <f aca="false">IF(SUM(W33:W35)&gt;=2,1,0)</f>
        <v>0</v>
      </c>
      <c r="W33" s="22" t="n">
        <f aca="false">IF(SUM(X33:X35)&gt;=2,1,0)</f>
        <v>0</v>
      </c>
      <c r="X33" s="22" t="n">
        <f aca="false">IF(SUM(Y33:Y35)&gt;=2,1,0)</f>
        <v>0</v>
      </c>
      <c r="Y33" s="23" t="n">
        <v>0</v>
      </c>
      <c r="Z33" s="7"/>
      <c r="AA33" s="6"/>
      <c r="AB33" s="6"/>
      <c r="AC33" s="6"/>
      <c r="AD33" s="6"/>
      <c r="AE33" s="6"/>
      <c r="AF33" s="6"/>
      <c r="AG33" s="6"/>
      <c r="AH33" s="24"/>
    </row>
    <row r="34" customFormat="false" ht="12.8" hidden="false" customHeight="true" outlineLevel="0" collapsed="false">
      <c r="D34" s="9"/>
      <c r="E34" s="1" t="s">
        <v>49</v>
      </c>
      <c r="G34" s="3" t="n">
        <f aca="false">G5</f>
        <v>0</v>
      </c>
      <c r="H34" s="3" t="n">
        <f aca="false">H5</f>
        <v>1</v>
      </c>
      <c r="I34" s="3" t="n">
        <f aca="false">I5</f>
        <v>0</v>
      </c>
      <c r="J34" s="3" t="n">
        <f aca="false">J5</f>
        <v>0</v>
      </c>
      <c r="K34" s="3" t="str">
        <f aca="false">K5</f>
        <v>.</v>
      </c>
      <c r="L34" s="3" t="n">
        <f aca="false">L5</f>
        <v>1</v>
      </c>
      <c r="M34" s="3" t="n">
        <f aca="false">M5</f>
        <v>1</v>
      </c>
      <c r="N34" s="3" t="n">
        <f aca="false">N5</f>
        <v>1</v>
      </c>
      <c r="O34" s="3" t="n">
        <f aca="false">O5</f>
        <v>1</v>
      </c>
      <c r="P34" s="3" t="str">
        <f aca="false">P5</f>
        <v>.</v>
      </c>
      <c r="Q34" s="3" t="n">
        <f aca="false">Q5</f>
        <v>1</v>
      </c>
      <c r="R34" s="3" t="n">
        <f aca="false">R5</f>
        <v>1</v>
      </c>
      <c r="S34" s="3" t="n">
        <f aca="false">S5</f>
        <v>1</v>
      </c>
      <c r="T34" s="3" t="n">
        <f aca="false">T5</f>
        <v>0</v>
      </c>
      <c r="U34" s="3" t="str">
        <f aca="false">U5</f>
        <v>.</v>
      </c>
      <c r="V34" s="3" t="n">
        <f aca="false">V5</f>
        <v>1</v>
      </c>
      <c r="W34" s="3" t="n">
        <f aca="false">W5</f>
        <v>0</v>
      </c>
      <c r="X34" s="3" t="n">
        <f aca="false">X5</f>
        <v>1</v>
      </c>
      <c r="Y34" s="3" t="n">
        <f aca="false">Y5</f>
        <v>0</v>
      </c>
      <c r="AC34" s="1" t="s">
        <v>50</v>
      </c>
      <c r="AE34" s="3" t="n">
        <f aca="false">C5</f>
        <v>20458</v>
      </c>
      <c r="AF34" s="25" t="s">
        <v>61</v>
      </c>
      <c r="AG34" s="25"/>
      <c r="AH34" s="25"/>
    </row>
    <row r="35" customFormat="false" ht="12.8" hidden="false" customHeight="false" outlineLevel="0" collapsed="false">
      <c r="D35" s="9" t="s">
        <v>48</v>
      </c>
      <c r="E35" s="1" t="s">
        <v>62</v>
      </c>
      <c r="G35" s="3" t="n">
        <f aca="false">G10</f>
        <v>1</v>
      </c>
      <c r="H35" s="3" t="n">
        <f aca="false">H10</f>
        <v>1</v>
      </c>
      <c r="I35" s="3" t="n">
        <f aca="false">I10</f>
        <v>1</v>
      </c>
      <c r="J35" s="3" t="n">
        <f aca="false">J10</f>
        <v>1</v>
      </c>
      <c r="K35" s="3" t="str">
        <f aca="false">K10</f>
        <v>.</v>
      </c>
      <c r="L35" s="3" t="n">
        <f aca="false">L10</f>
        <v>0</v>
      </c>
      <c r="M35" s="3" t="n">
        <f aca="false">M10</f>
        <v>0</v>
      </c>
      <c r="N35" s="3" t="n">
        <f aca="false">N10</f>
        <v>1</v>
      </c>
      <c r="O35" s="3" t="n">
        <f aca="false">O10</f>
        <v>1</v>
      </c>
      <c r="P35" s="3" t="str">
        <f aca="false">P10</f>
        <v>.</v>
      </c>
      <c r="Q35" s="3" t="n">
        <f aca="false">Q10</f>
        <v>0</v>
      </c>
      <c r="R35" s="3" t="n">
        <f aca="false">R10</f>
        <v>0</v>
      </c>
      <c r="S35" s="3" t="n">
        <f aca="false">S10</f>
        <v>0</v>
      </c>
      <c r="T35" s="3" t="n">
        <f aca="false">T10</f>
        <v>1</v>
      </c>
      <c r="U35" s="3" t="str">
        <f aca="false">U10</f>
        <v>.</v>
      </c>
      <c r="V35" s="3" t="n">
        <f aca="false">V10</f>
        <v>0</v>
      </c>
      <c r="W35" s="3" t="n">
        <f aca="false">W10</f>
        <v>1</v>
      </c>
      <c r="X35" s="3" t="n">
        <f aca="false">X10</f>
        <v>0</v>
      </c>
      <c r="Y35" s="3" t="n">
        <f aca="false">Y10</f>
        <v>1</v>
      </c>
      <c r="AB35" s="1" t="s">
        <v>48</v>
      </c>
      <c r="AC35" s="1" t="s">
        <v>63</v>
      </c>
      <c r="AE35" s="3" t="n">
        <f aca="false">C10</f>
        <v>-3307</v>
      </c>
      <c r="AF35" s="25"/>
      <c r="AG35" s="25"/>
      <c r="AH35" s="25"/>
    </row>
    <row r="36" customFormat="false" ht="12.8" hidden="false" customHeight="false" outlineLevel="0" collapsed="false">
      <c r="D36" s="9"/>
      <c r="E36" s="26"/>
      <c r="F36" s="26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AC36" s="26"/>
      <c r="AD36" s="26"/>
      <c r="AE36" s="28"/>
      <c r="AF36" s="25"/>
      <c r="AG36" s="25"/>
      <c r="AH36" s="25"/>
    </row>
    <row r="37" customFormat="false" ht="12.8" hidden="false" customHeight="false" outlineLevel="0" collapsed="false">
      <c r="D37" s="9"/>
      <c r="G37" s="3" t="n">
        <f aca="false">IF(SUM(G33:G35)&gt;=2,SUM(G33:G35)-2,SUM(G33:G35))</f>
        <v>0</v>
      </c>
      <c r="H37" s="3" t="n">
        <f aca="false">IF(SUM(H33:H35)&gt;=2,SUM(H33:H35)-2,SUM(H33:H35))</f>
        <v>1</v>
      </c>
      <c r="I37" s="3" t="n">
        <f aca="false">IF(SUM(I33:I35)&gt;=2,SUM(I33:I35)-2,SUM(I33:I35))</f>
        <v>0</v>
      </c>
      <c r="J37" s="3" t="n">
        <f aca="false">IF(SUM(J33:J35)&gt;=2,SUM(J33:J35)-2,SUM(J33:J35))</f>
        <v>0</v>
      </c>
      <c r="K37" s="3" t="s">
        <v>4</v>
      </c>
      <c r="L37" s="3" t="n">
        <f aca="false">IF(SUM(L33:L35)&gt;=2,SUM(L33:L35)-2,SUM(L33:L35))</f>
        <v>0</v>
      </c>
      <c r="M37" s="3" t="n">
        <f aca="false">IF(SUM(M33:M35)&gt;=2,SUM(M33:M35)-2,SUM(M33:M35))</f>
        <v>0</v>
      </c>
      <c r="N37" s="3" t="n">
        <f aca="false">IF(SUM(N33:N35)&gt;=2,SUM(N33:N35)-2,SUM(N33:N35))</f>
        <v>1</v>
      </c>
      <c r="O37" s="3" t="n">
        <f aca="false">IF(SUM(O33:O35)&gt;=2,SUM(O33:O35)-2,SUM(O33:O35))</f>
        <v>0</v>
      </c>
      <c r="P37" s="3" t="s">
        <v>4</v>
      </c>
      <c r="Q37" s="3" t="n">
        <f aca="false">IF(SUM(Q33:Q35)&gt;=2,SUM(Q33:Q35)-2,SUM(Q33:Q35))</f>
        <v>1</v>
      </c>
      <c r="R37" s="3" t="n">
        <f aca="false">IF(SUM(R33:R35)&gt;=2,SUM(R33:R35)-2,SUM(R33:R35))</f>
        <v>1</v>
      </c>
      <c r="S37" s="3" t="n">
        <f aca="false">IF(SUM(S33:S35)&gt;=2,SUM(S33:S35)-2,SUM(S33:S35))</f>
        <v>1</v>
      </c>
      <c r="T37" s="3" t="n">
        <f aca="false">IF(SUM(T33:T35)&gt;=2,SUM(T33:T35)-2,SUM(T33:T35))</f>
        <v>1</v>
      </c>
      <c r="U37" s="3" t="s">
        <v>4</v>
      </c>
      <c r="V37" s="3" t="n">
        <f aca="false">IF(SUM(V33:V35)&gt;=2,SUM(V33:V35)-2,SUM(V33:V35))</f>
        <v>1</v>
      </c>
      <c r="W37" s="3" t="n">
        <f aca="false">IF(SUM(W33:W35)&gt;=2,SUM(W33:W35)-2,SUM(W33:W35))</f>
        <v>1</v>
      </c>
      <c r="X37" s="3" t="n">
        <f aca="false">IF(SUM(X33:X35)&gt;=2,SUM(X33:X35)-2,SUM(X33:X35))</f>
        <v>1</v>
      </c>
      <c r="Y37" s="3" t="n">
        <f aca="false">IF(SUM(Y33:Y35)&gt;=2,SUM(Y33:Y35)-2,SUM(Y33:Y35))</f>
        <v>1</v>
      </c>
      <c r="Z37" s="3" t="s">
        <v>51</v>
      </c>
      <c r="AA37" s="1" t="n">
        <f aca="false">IF(G37=0,Y37*2^0+X37*2^1+W37*2^2+V37*2^3+T37*2^4+S37*2^5+R37*2^6+Q37*2^7+O37*2^8+N37*2^9+M37*2^10+L37*2^11+J37*2^12+I37*2^13+H37*2^14+G37*2^15,Y37*2^0+X37*2^1+W37*2^2+V37*2^3+T37*2^4+S37*2^5+R37*2^6+Q37*2^7+O37*2^8+N37*2^9+M37*2^10+L37*2^11+J37*2^12+I37*2^13+H37*2^14+G37*2^15-65536)</f>
        <v>17151</v>
      </c>
      <c r="AE37" s="3" t="n">
        <f aca="false">AE34+AE35</f>
        <v>17151</v>
      </c>
      <c r="AF37" s="25"/>
      <c r="AG37" s="25"/>
      <c r="AH37" s="25"/>
    </row>
    <row r="38" customFormat="false" ht="12.8" hidden="false" customHeight="false" outlineLevel="0" collapsed="false">
      <c r="D38" s="9"/>
      <c r="F38" s="29"/>
      <c r="AF38" s="25"/>
      <c r="AG38" s="25"/>
      <c r="AH38" s="25"/>
    </row>
    <row r="39" customFormat="false" ht="12.8" hidden="false" customHeight="false" outlineLevel="0" collapsed="false">
      <c r="D39" s="30"/>
      <c r="E39" s="18"/>
      <c r="F39" s="18"/>
      <c r="G39" s="31" t="s">
        <v>52</v>
      </c>
      <c r="H39" s="31"/>
      <c r="I39" s="31"/>
      <c r="J39" s="32" t="n">
        <f aca="false">IF(SUM(G33:G35)&gt;=2,1,0)</f>
        <v>1</v>
      </c>
      <c r="K39" s="19"/>
      <c r="L39" s="31" t="s">
        <v>53</v>
      </c>
      <c r="M39" s="31"/>
      <c r="N39" s="31"/>
      <c r="O39" s="32" t="n">
        <f aca="false">IF(MOD(SUM(Q37:T37)+SUM(V37:Y37),2)=0,1,0)</f>
        <v>1</v>
      </c>
      <c r="P39" s="19"/>
      <c r="Q39" s="31" t="s">
        <v>54</v>
      </c>
      <c r="R39" s="31"/>
      <c r="S39" s="31"/>
      <c r="T39" s="32" t="n">
        <f aca="false">T33</f>
        <v>0</v>
      </c>
      <c r="U39" s="19"/>
      <c r="V39" s="31" t="s">
        <v>55</v>
      </c>
      <c r="W39" s="31"/>
      <c r="X39" s="31"/>
      <c r="Y39" s="32" t="n">
        <f aca="false">IF(AA37=0,1,0)</f>
        <v>0</v>
      </c>
      <c r="Z39" s="19"/>
      <c r="AA39" s="33" t="s">
        <v>56</v>
      </c>
      <c r="AB39" s="32" t="n">
        <f aca="false">G37</f>
        <v>0</v>
      </c>
      <c r="AC39" s="18"/>
      <c r="AD39" s="18" t="s">
        <v>57</v>
      </c>
      <c r="AE39" s="32" t="n">
        <f aca="false">MOD(G33+J39,2)</f>
        <v>0</v>
      </c>
      <c r="AF39" s="25"/>
      <c r="AG39" s="25"/>
      <c r="AH39" s="25"/>
    </row>
    <row r="41" customFormat="false" ht="12.8" hidden="false" customHeight="false" outlineLevel="0" collapsed="false">
      <c r="D41" s="4"/>
      <c r="E41" s="6"/>
      <c r="F41" s="21" t="s">
        <v>44</v>
      </c>
      <c r="G41" s="22" t="n">
        <f aca="false">IF(SUM(H41:H43)&gt;=2,1,0)</f>
        <v>1</v>
      </c>
      <c r="H41" s="22" t="n">
        <f aca="false">IF(SUM(I41:I43)&gt;=2,1,0)</f>
        <v>1</v>
      </c>
      <c r="I41" s="22" t="n">
        <f aca="false">IF(SUM(J41:J43)&gt;=2,1,0)</f>
        <v>1</v>
      </c>
      <c r="J41" s="23" t="n">
        <f aca="false">IF(SUM(L41:L43)&gt;=2,1,0)</f>
        <v>0</v>
      </c>
      <c r="K41" s="22"/>
      <c r="L41" s="22" t="n">
        <f aca="false">IF(SUM(M41:M43)&gt;=2,1,0)</f>
        <v>0</v>
      </c>
      <c r="M41" s="22" t="n">
        <f aca="false">IF(SUM(N41:N43)&gt;=2,1,0)</f>
        <v>0</v>
      </c>
      <c r="N41" s="22" t="n">
        <f aca="false">IF(SUM(O41:O43)&gt;=2,1,0)</f>
        <v>0</v>
      </c>
      <c r="O41" s="23" t="n">
        <f aca="false">IF(SUM(Q41:Q43)&gt;=2,1,0)</f>
        <v>0</v>
      </c>
      <c r="P41" s="22"/>
      <c r="Q41" s="22" t="n">
        <f aca="false">IF(SUM(R41:R43)&gt;=2,1,0)</f>
        <v>0</v>
      </c>
      <c r="R41" s="22" t="n">
        <f aca="false">IF(SUM(S41:S43)&gt;=2,1,0)</f>
        <v>0</v>
      </c>
      <c r="S41" s="22" t="n">
        <f aca="false">IF(SUM(T41:T43)&gt;=2,1,0)</f>
        <v>1</v>
      </c>
      <c r="T41" s="23" t="n">
        <f aca="false">IF(SUM(V41:V43)&gt;=2,1,0)</f>
        <v>0</v>
      </c>
      <c r="U41" s="22"/>
      <c r="V41" s="22" t="n">
        <f aca="false">IF(SUM(W41:W43)&gt;=2,1,0)</f>
        <v>1</v>
      </c>
      <c r="W41" s="22" t="n">
        <f aca="false">IF(SUM(X41:X43)&gt;=2,1,0)</f>
        <v>0</v>
      </c>
      <c r="X41" s="22" t="n">
        <f aca="false">IF(SUM(Y41:Y43)&gt;=2,1,0)</f>
        <v>0</v>
      </c>
      <c r="Y41" s="23" t="n">
        <v>0</v>
      </c>
      <c r="Z41" s="7"/>
      <c r="AA41" s="6"/>
      <c r="AB41" s="6"/>
      <c r="AC41" s="6"/>
      <c r="AD41" s="6"/>
      <c r="AE41" s="6"/>
      <c r="AF41" s="6"/>
      <c r="AG41" s="6"/>
      <c r="AH41" s="24"/>
    </row>
    <row r="42" customFormat="false" ht="12.8" hidden="false" customHeight="true" outlineLevel="0" collapsed="false">
      <c r="D42" s="9"/>
      <c r="E42" s="1" t="s">
        <v>64</v>
      </c>
      <c r="G42" s="3" t="n">
        <f aca="false">G10</f>
        <v>1</v>
      </c>
      <c r="H42" s="3" t="n">
        <f aca="false">H10</f>
        <v>1</v>
      </c>
      <c r="I42" s="3" t="n">
        <f aca="false">I10</f>
        <v>1</v>
      </c>
      <c r="J42" s="3" t="n">
        <f aca="false">J10</f>
        <v>1</v>
      </c>
      <c r="K42" s="3" t="str">
        <f aca="false">K10</f>
        <v>.</v>
      </c>
      <c r="L42" s="3" t="n">
        <f aca="false">L10</f>
        <v>0</v>
      </c>
      <c r="M42" s="3" t="n">
        <f aca="false">M10</f>
        <v>0</v>
      </c>
      <c r="N42" s="3" t="n">
        <f aca="false">N10</f>
        <v>1</v>
      </c>
      <c r="O42" s="3" t="n">
        <f aca="false">O10</f>
        <v>1</v>
      </c>
      <c r="P42" s="3" t="str">
        <f aca="false">P10</f>
        <v>.</v>
      </c>
      <c r="Q42" s="3" t="n">
        <f aca="false">Q10</f>
        <v>0</v>
      </c>
      <c r="R42" s="3" t="n">
        <f aca="false">R10</f>
        <v>0</v>
      </c>
      <c r="S42" s="3" t="n">
        <f aca="false">S10</f>
        <v>0</v>
      </c>
      <c r="T42" s="3" t="n">
        <f aca="false">T10</f>
        <v>1</v>
      </c>
      <c r="U42" s="3" t="str">
        <f aca="false">U10</f>
        <v>.</v>
      </c>
      <c r="V42" s="3" t="n">
        <f aca="false">V10</f>
        <v>0</v>
      </c>
      <c r="W42" s="3" t="n">
        <f aca="false">W10</f>
        <v>1</v>
      </c>
      <c r="X42" s="3" t="n">
        <f aca="false">X10</f>
        <v>0</v>
      </c>
      <c r="Y42" s="3" t="n">
        <f aca="false">Y10</f>
        <v>1</v>
      </c>
      <c r="AC42" s="1" t="s">
        <v>63</v>
      </c>
      <c r="AE42" s="3" t="n">
        <f aca="false">C10</f>
        <v>-3307</v>
      </c>
      <c r="AF42" s="25" t="s">
        <v>65</v>
      </c>
      <c r="AG42" s="25"/>
      <c r="AH42" s="25"/>
    </row>
    <row r="43" customFormat="false" ht="12.8" hidden="false" customHeight="false" outlineLevel="0" collapsed="false">
      <c r="D43" s="9" t="s">
        <v>48</v>
      </c>
      <c r="E43" s="1" t="s">
        <v>66</v>
      </c>
      <c r="G43" s="3" t="n">
        <f aca="false">G11</f>
        <v>1</v>
      </c>
      <c r="H43" s="3" t="n">
        <f aca="false">H11</f>
        <v>0</v>
      </c>
      <c r="I43" s="3" t="n">
        <f aca="false">I11</f>
        <v>1</v>
      </c>
      <c r="J43" s="3" t="n">
        <f aca="false">J11</f>
        <v>1</v>
      </c>
      <c r="K43" s="3" t="str">
        <f aca="false">K11</f>
        <v>.</v>
      </c>
      <c r="L43" s="3" t="n">
        <f aca="false">L11</f>
        <v>0</v>
      </c>
      <c r="M43" s="3" t="n">
        <f aca="false">M11</f>
        <v>0</v>
      </c>
      <c r="N43" s="3" t="n">
        <f aca="false">N11</f>
        <v>0</v>
      </c>
      <c r="O43" s="3" t="n">
        <f aca="false">O11</f>
        <v>0</v>
      </c>
      <c r="P43" s="3" t="str">
        <f aca="false">P11</f>
        <v>.</v>
      </c>
      <c r="Q43" s="3" t="n">
        <f aca="false">Q11</f>
        <v>0</v>
      </c>
      <c r="R43" s="3" t="n">
        <f aca="false">R11</f>
        <v>0</v>
      </c>
      <c r="S43" s="3" t="n">
        <f aca="false">S11</f>
        <v>0</v>
      </c>
      <c r="T43" s="3" t="n">
        <f aca="false">T11</f>
        <v>1</v>
      </c>
      <c r="U43" s="3" t="str">
        <f aca="false">U11</f>
        <v>.</v>
      </c>
      <c r="V43" s="3" t="n">
        <f aca="false">V11</f>
        <v>0</v>
      </c>
      <c r="W43" s="3" t="n">
        <f aca="false">W11</f>
        <v>1</v>
      </c>
      <c r="X43" s="3" t="n">
        <f aca="false">X11</f>
        <v>1</v>
      </c>
      <c r="Y43" s="3" t="n">
        <f aca="false">Y11</f>
        <v>0</v>
      </c>
      <c r="AB43" s="1" t="s">
        <v>48</v>
      </c>
      <c r="AC43" s="1" t="s">
        <v>67</v>
      </c>
      <c r="AE43" s="3" t="n">
        <f aca="false">C11</f>
        <v>-20458</v>
      </c>
      <c r="AF43" s="25"/>
      <c r="AG43" s="25"/>
      <c r="AH43" s="25"/>
    </row>
    <row r="44" customFormat="false" ht="12.8" hidden="false" customHeight="false" outlineLevel="0" collapsed="false">
      <c r="D44" s="9"/>
      <c r="E44" s="26"/>
      <c r="F44" s="2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AC44" s="26"/>
      <c r="AD44" s="26"/>
      <c r="AE44" s="28"/>
      <c r="AF44" s="25"/>
      <c r="AG44" s="25"/>
      <c r="AH44" s="25"/>
    </row>
    <row r="45" customFormat="false" ht="12.8" hidden="false" customHeight="false" outlineLevel="0" collapsed="false">
      <c r="D45" s="9"/>
      <c r="G45" s="3" t="n">
        <f aca="false">IF(SUM(G41:G43)&gt;=2,SUM(G41:G43)-2,SUM(G41:G43))</f>
        <v>1</v>
      </c>
      <c r="H45" s="3" t="n">
        <f aca="false">IF(SUM(H41:H43)&gt;=2,SUM(H41:H43)-2,SUM(H41:H43))</f>
        <v>0</v>
      </c>
      <c r="I45" s="3" t="n">
        <f aca="false">IF(SUM(I41:I43)&gt;=2,SUM(I41:I43)-2,SUM(I41:I43))</f>
        <v>1</v>
      </c>
      <c r="J45" s="3" t="n">
        <f aca="false">IF(SUM(J41:J43)&gt;=2,SUM(J41:J43)-2,SUM(J41:J43))</f>
        <v>0</v>
      </c>
      <c r="K45" s="3" t="s">
        <v>4</v>
      </c>
      <c r="L45" s="3" t="n">
        <f aca="false">IF(SUM(L41:L43)&gt;=2,SUM(L41:L43)-2,SUM(L41:L43))</f>
        <v>0</v>
      </c>
      <c r="M45" s="3" t="n">
        <f aca="false">IF(SUM(M41:M43)&gt;=2,SUM(M41:M43)-2,SUM(M41:M43))</f>
        <v>0</v>
      </c>
      <c r="N45" s="3" t="n">
        <f aca="false">IF(SUM(N41:N43)&gt;=2,SUM(N41:N43)-2,SUM(N41:N43))</f>
        <v>1</v>
      </c>
      <c r="O45" s="3" t="n">
        <f aca="false">IF(SUM(O41:O43)&gt;=2,SUM(O41:O43)-2,SUM(O41:O43))</f>
        <v>1</v>
      </c>
      <c r="P45" s="3" t="s">
        <v>4</v>
      </c>
      <c r="Q45" s="3" t="n">
        <f aca="false">IF(SUM(Q41:Q43)&gt;=2,SUM(Q41:Q43)-2,SUM(Q41:Q43))</f>
        <v>0</v>
      </c>
      <c r="R45" s="3" t="n">
        <f aca="false">IF(SUM(R41:R43)&gt;=2,SUM(R41:R43)-2,SUM(R41:R43))</f>
        <v>0</v>
      </c>
      <c r="S45" s="3" t="n">
        <f aca="false">IF(SUM(S41:S43)&gt;=2,SUM(S41:S43)-2,SUM(S41:S43))</f>
        <v>1</v>
      </c>
      <c r="T45" s="3" t="n">
        <f aca="false">IF(SUM(T41:T43)&gt;=2,SUM(T41:T43)-2,SUM(T41:T43))</f>
        <v>0</v>
      </c>
      <c r="U45" s="3" t="s">
        <v>4</v>
      </c>
      <c r="V45" s="3" t="n">
        <f aca="false">IF(SUM(V41:V43)&gt;=2,SUM(V41:V43)-2,SUM(V41:V43))</f>
        <v>1</v>
      </c>
      <c r="W45" s="3" t="n">
        <f aca="false">IF(SUM(W41:W43)&gt;=2,SUM(W41:W43)-2,SUM(W41:W43))</f>
        <v>0</v>
      </c>
      <c r="X45" s="3" t="n">
        <f aca="false">IF(SUM(X41:X43)&gt;=2,SUM(X41:X43)-2,SUM(X41:X43))</f>
        <v>1</v>
      </c>
      <c r="Y45" s="3" t="n">
        <f aca="false">IF(SUM(Y41:Y43)&gt;=2,SUM(Y41:Y43)-2,SUM(Y41:Y43))</f>
        <v>1</v>
      </c>
      <c r="Z45" s="3" t="s">
        <v>51</v>
      </c>
      <c r="AA45" s="1" t="n">
        <f aca="false">IF(G45=0,Y45*2^0+X45*2^1+W45*2^2+V45*2^3+T45*2^4+S45*2^5+R45*2^6+Q45*2^7+O45*2^8+N45*2^9+M45*2^10+L45*2^11+J45*2^12+I45*2^13+H45*2^14+G45*2^15,Y45*2^0+X45*2^1+W45*2^2+V45*2^3+T45*2^4+S45*2^5+R45*2^6+Q45*2^7+O45*2^8+N45*2^9+M45*2^10+L45*2^11+J45*2^12+I45*2^13+H45*2^14+G45*2^15-65536)</f>
        <v>-23765</v>
      </c>
      <c r="AE45" s="3" t="n">
        <f aca="false">AE42+AE43</f>
        <v>-23765</v>
      </c>
      <c r="AF45" s="25"/>
      <c r="AG45" s="25"/>
      <c r="AH45" s="25"/>
    </row>
    <row r="46" customFormat="false" ht="12.8" hidden="false" customHeight="false" outlineLevel="0" collapsed="false">
      <c r="D46" s="9"/>
      <c r="F46" s="29"/>
      <c r="AF46" s="25"/>
      <c r="AG46" s="25"/>
      <c r="AH46" s="25"/>
    </row>
    <row r="47" customFormat="false" ht="12.8" hidden="false" customHeight="false" outlineLevel="0" collapsed="false">
      <c r="D47" s="30"/>
      <c r="E47" s="18"/>
      <c r="F47" s="18"/>
      <c r="G47" s="31" t="s">
        <v>52</v>
      </c>
      <c r="H47" s="31"/>
      <c r="I47" s="31"/>
      <c r="J47" s="32" t="n">
        <f aca="false">IF(SUM(G41:G43)&gt;=2,1,0)</f>
        <v>1</v>
      </c>
      <c r="K47" s="19"/>
      <c r="L47" s="31" t="s">
        <v>53</v>
      </c>
      <c r="M47" s="31"/>
      <c r="N47" s="31"/>
      <c r="O47" s="32" t="n">
        <f aca="false">IF(MOD(SUM(Q45:T45)+SUM(V45:Y45),2)=0,1,0)</f>
        <v>1</v>
      </c>
      <c r="P47" s="19"/>
      <c r="Q47" s="31" t="s">
        <v>54</v>
      </c>
      <c r="R47" s="31"/>
      <c r="S47" s="31"/>
      <c r="T47" s="32" t="n">
        <f aca="false">T41</f>
        <v>0</v>
      </c>
      <c r="U47" s="19"/>
      <c r="V47" s="31" t="s">
        <v>55</v>
      </c>
      <c r="W47" s="31"/>
      <c r="X47" s="31"/>
      <c r="Y47" s="32" t="n">
        <f aca="false">IF(AA45=0,1,0)</f>
        <v>0</v>
      </c>
      <c r="Z47" s="19"/>
      <c r="AA47" s="33" t="s">
        <v>56</v>
      </c>
      <c r="AB47" s="32" t="n">
        <f aca="false">G45</f>
        <v>1</v>
      </c>
      <c r="AC47" s="18"/>
      <c r="AD47" s="18" t="s">
        <v>57</v>
      </c>
      <c r="AE47" s="32" t="n">
        <f aca="false">MOD(G41+J47,2)</f>
        <v>0</v>
      </c>
      <c r="AF47" s="25"/>
      <c r="AG47" s="25"/>
      <c r="AH47" s="25"/>
    </row>
    <row r="49" customFormat="false" ht="12.8" hidden="false" customHeight="false" outlineLevel="0" collapsed="false">
      <c r="D49" s="4"/>
      <c r="E49" s="6"/>
      <c r="F49" s="21" t="s">
        <v>44</v>
      </c>
      <c r="G49" s="22" t="n">
        <f aca="false">IF(SUM(H49:H51)&gt;=2,1,0)</f>
        <v>0</v>
      </c>
      <c r="H49" s="22" t="n">
        <f aca="false">IF(SUM(I49:I51)&gt;=2,1,0)</f>
        <v>1</v>
      </c>
      <c r="I49" s="22" t="n">
        <f aca="false">IF(SUM(J49:J51)&gt;=2,1,0)</f>
        <v>0</v>
      </c>
      <c r="J49" s="23" t="n">
        <f aca="false">IF(SUM(L49:L51)&gt;=2,1,0)</f>
        <v>0</v>
      </c>
      <c r="K49" s="22"/>
      <c r="L49" s="22" t="n">
        <f aca="false">IF(SUM(M49:M51)&gt;=2,1,0)</f>
        <v>0</v>
      </c>
      <c r="M49" s="22" t="n">
        <f aca="false">IF(SUM(N49:N51)&gt;=2,1,0)</f>
        <v>0</v>
      </c>
      <c r="N49" s="22" t="n">
        <f aca="false">IF(SUM(O49:O51)&gt;=2,1,0)</f>
        <v>0</v>
      </c>
      <c r="O49" s="23" t="n">
        <f aca="false">IF(SUM(Q49:Q51)&gt;=2,1,0)</f>
        <v>0</v>
      </c>
      <c r="P49" s="22"/>
      <c r="Q49" s="22" t="n">
        <f aca="false">IF(SUM(R49:R51)&gt;=2,1,0)</f>
        <v>0</v>
      </c>
      <c r="R49" s="22" t="n">
        <f aca="false">IF(SUM(S49:S51)&gt;=2,1,0)</f>
        <v>1</v>
      </c>
      <c r="S49" s="22" t="n">
        <f aca="false">IF(SUM(T49:T51)&gt;=2,1,0)</f>
        <v>1</v>
      </c>
      <c r="T49" s="23" t="n">
        <f aca="false">IF(SUM(V49:V51)&gt;=2,1,0)</f>
        <v>1</v>
      </c>
      <c r="U49" s="22"/>
      <c r="V49" s="22" t="n">
        <f aca="false">IF(SUM(W49:W51)&gt;=2,1,0)</f>
        <v>1</v>
      </c>
      <c r="W49" s="22" t="n">
        <f aca="false">IF(SUM(X49:X51)&gt;=2,1,0)</f>
        <v>1</v>
      </c>
      <c r="X49" s="22" t="n">
        <f aca="false">IF(SUM(Y49:Y51)&gt;=2,1,0)</f>
        <v>0</v>
      </c>
      <c r="Y49" s="23" t="n">
        <v>0</v>
      </c>
      <c r="Z49" s="7"/>
      <c r="AA49" s="6"/>
      <c r="AB49" s="6"/>
      <c r="AC49" s="6"/>
      <c r="AD49" s="6"/>
      <c r="AE49" s="6"/>
      <c r="AF49" s="6"/>
      <c r="AG49" s="6"/>
      <c r="AH49" s="34"/>
    </row>
    <row r="50" customFormat="false" ht="12.8" hidden="false" customHeight="true" outlineLevel="0" collapsed="false">
      <c r="D50" s="9"/>
      <c r="E50" s="1" t="s">
        <v>66</v>
      </c>
      <c r="G50" s="3" t="n">
        <f aca="false">G11</f>
        <v>1</v>
      </c>
      <c r="H50" s="3" t="n">
        <f aca="false">H11</f>
        <v>0</v>
      </c>
      <c r="I50" s="3" t="n">
        <f aca="false">I11</f>
        <v>1</v>
      </c>
      <c r="J50" s="3" t="n">
        <f aca="false">J11</f>
        <v>1</v>
      </c>
      <c r="K50" s="3" t="str">
        <f aca="false">K11</f>
        <v>.</v>
      </c>
      <c r="L50" s="3" t="n">
        <f aca="false">L11</f>
        <v>0</v>
      </c>
      <c r="M50" s="3" t="n">
        <f aca="false">M11</f>
        <v>0</v>
      </c>
      <c r="N50" s="3" t="n">
        <f aca="false">N11</f>
        <v>0</v>
      </c>
      <c r="O50" s="3" t="n">
        <f aca="false">O11</f>
        <v>0</v>
      </c>
      <c r="P50" s="3" t="str">
        <f aca="false">P11</f>
        <v>.</v>
      </c>
      <c r="Q50" s="3" t="n">
        <f aca="false">Q11</f>
        <v>0</v>
      </c>
      <c r="R50" s="3" t="n">
        <f aca="false">R11</f>
        <v>0</v>
      </c>
      <c r="S50" s="3" t="n">
        <f aca="false">S11</f>
        <v>0</v>
      </c>
      <c r="T50" s="3" t="n">
        <f aca="false">T11</f>
        <v>1</v>
      </c>
      <c r="U50" s="3" t="str">
        <f aca="false">U11</f>
        <v>.</v>
      </c>
      <c r="V50" s="3" t="n">
        <f aca="false">V11</f>
        <v>0</v>
      </c>
      <c r="W50" s="3" t="n">
        <f aca="false">W11</f>
        <v>1</v>
      </c>
      <c r="X50" s="3" t="n">
        <f aca="false">X11</f>
        <v>1</v>
      </c>
      <c r="Y50" s="3" t="n">
        <f aca="false">Y11</f>
        <v>0</v>
      </c>
      <c r="AC50" s="1" t="s">
        <v>67</v>
      </c>
      <c r="AE50" s="3" t="n">
        <f aca="false">C11</f>
        <v>-20458</v>
      </c>
      <c r="AF50" s="25" t="s">
        <v>68</v>
      </c>
      <c r="AG50" s="25"/>
      <c r="AH50" s="25"/>
    </row>
    <row r="51" customFormat="false" ht="12.8" hidden="false" customHeight="false" outlineLevel="0" collapsed="false">
      <c r="D51" s="9" t="s">
        <v>48</v>
      </c>
      <c r="E51" s="1" t="s">
        <v>69</v>
      </c>
      <c r="G51" s="3" t="n">
        <f aca="false">G12</f>
        <v>1</v>
      </c>
      <c r="H51" s="3" t="n">
        <f aca="false">H12</f>
        <v>0</v>
      </c>
      <c r="I51" s="3" t="n">
        <f aca="false">I12</f>
        <v>1</v>
      </c>
      <c r="J51" s="3" t="n">
        <f aca="false">J12</f>
        <v>0</v>
      </c>
      <c r="K51" s="3" t="str">
        <f aca="false">K12</f>
        <v>.</v>
      </c>
      <c r="L51" s="3" t="n">
        <f aca="false">L12</f>
        <v>0</v>
      </c>
      <c r="M51" s="3" t="n">
        <f aca="false">M12</f>
        <v>0</v>
      </c>
      <c r="N51" s="3" t="n">
        <f aca="false">N12</f>
        <v>1</v>
      </c>
      <c r="O51" s="3" t="n">
        <f aca="false">O12</f>
        <v>1</v>
      </c>
      <c r="P51" s="3" t="str">
        <f aca="false">P12</f>
        <v>.</v>
      </c>
      <c r="Q51" s="3" t="n">
        <f aca="false">Q12</f>
        <v>0</v>
      </c>
      <c r="R51" s="3" t="n">
        <f aca="false">R12</f>
        <v>0</v>
      </c>
      <c r="S51" s="3" t="n">
        <f aca="false">S12</f>
        <v>1</v>
      </c>
      <c r="T51" s="3" t="n">
        <f aca="false">T12</f>
        <v>0</v>
      </c>
      <c r="U51" s="3" t="str">
        <f aca="false">U12</f>
        <v>.</v>
      </c>
      <c r="V51" s="3" t="n">
        <f aca="false">V12</f>
        <v>1</v>
      </c>
      <c r="W51" s="3" t="n">
        <f aca="false">W12</f>
        <v>0</v>
      </c>
      <c r="X51" s="3" t="n">
        <f aca="false">X12</f>
        <v>1</v>
      </c>
      <c r="Y51" s="3" t="n">
        <f aca="false">Y12</f>
        <v>1</v>
      </c>
      <c r="AB51" s="1" t="s">
        <v>48</v>
      </c>
      <c r="AC51" s="1" t="s">
        <v>70</v>
      </c>
      <c r="AE51" s="3" t="n">
        <f aca="false">C12</f>
        <v>-23765</v>
      </c>
      <c r="AF51" s="25"/>
      <c r="AG51" s="25"/>
      <c r="AH51" s="25"/>
    </row>
    <row r="52" customFormat="false" ht="12.8" hidden="false" customHeight="false" outlineLevel="0" collapsed="false">
      <c r="D52" s="9"/>
      <c r="E52" s="26"/>
      <c r="F52" s="26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AC52" s="26"/>
      <c r="AD52" s="26"/>
      <c r="AE52" s="28"/>
      <c r="AF52" s="25"/>
      <c r="AG52" s="25"/>
      <c r="AH52" s="25"/>
    </row>
    <row r="53" customFormat="false" ht="12.8" hidden="false" customHeight="false" outlineLevel="0" collapsed="false">
      <c r="D53" s="9"/>
      <c r="G53" s="3" t="n">
        <f aca="false">IF(SUM(G49:G51)&gt;=2,SUM(G49:G51)-2,SUM(G49:G51))</f>
        <v>0</v>
      </c>
      <c r="H53" s="3" t="n">
        <f aca="false">IF(SUM(H49:H51)&gt;=2,SUM(H49:H51)-2,SUM(H49:H51))</f>
        <v>1</v>
      </c>
      <c r="I53" s="3" t="n">
        <f aca="false">IF(SUM(I49:I51)&gt;=2,SUM(I49:I51)-2,SUM(I49:I51))</f>
        <v>0</v>
      </c>
      <c r="J53" s="3" t="n">
        <f aca="false">IF(SUM(J49:J51)&gt;=2,SUM(J49:J51)-2,SUM(J49:J51))</f>
        <v>1</v>
      </c>
      <c r="K53" s="3" t="s">
        <v>4</v>
      </c>
      <c r="L53" s="3" t="n">
        <f aca="false">IF(SUM(L49:L51)&gt;=2,SUM(L49:L51)-2,SUM(L49:L51))</f>
        <v>0</v>
      </c>
      <c r="M53" s="3" t="n">
        <f aca="false">IF(SUM(M49:M51)&gt;=2,SUM(M49:M51)-2,SUM(M49:M51))</f>
        <v>0</v>
      </c>
      <c r="N53" s="3" t="n">
        <f aca="false">IF(SUM(N49:N51)&gt;=2,SUM(N49:N51)-2,SUM(N49:N51))</f>
        <v>1</v>
      </c>
      <c r="O53" s="3" t="n">
        <f aca="false">IF(SUM(O49:O51)&gt;=2,SUM(O49:O51)-2,SUM(O49:O51))</f>
        <v>1</v>
      </c>
      <c r="P53" s="3" t="s">
        <v>4</v>
      </c>
      <c r="Q53" s="3" t="n">
        <f aca="false">IF(SUM(Q49:Q51)&gt;=2,SUM(Q49:Q51)-2,SUM(Q49:Q51))</f>
        <v>0</v>
      </c>
      <c r="R53" s="3" t="n">
        <f aca="false">IF(SUM(R49:R51)&gt;=2,SUM(R49:R51)-2,SUM(R49:R51))</f>
        <v>1</v>
      </c>
      <c r="S53" s="3" t="n">
        <f aca="false">IF(SUM(S49:S51)&gt;=2,SUM(S49:S51)-2,SUM(S49:S51))</f>
        <v>0</v>
      </c>
      <c r="T53" s="3" t="n">
        <f aca="false">IF(SUM(T49:T51)&gt;=2,SUM(T49:T51)-2,SUM(T49:T51))</f>
        <v>0</v>
      </c>
      <c r="U53" s="3" t="s">
        <v>4</v>
      </c>
      <c r="V53" s="3" t="n">
        <f aca="false">IF(SUM(V49:V51)&gt;=2,SUM(V49:V51)-2,SUM(V49:V51))</f>
        <v>0</v>
      </c>
      <c r="W53" s="3" t="n">
        <f aca="false">IF(SUM(W49:W51)&gt;=2,SUM(W49:W51)-2,SUM(W49:W51))</f>
        <v>0</v>
      </c>
      <c r="X53" s="3" t="n">
        <f aca="false">IF(SUM(X49:X51)&gt;=2,SUM(X49:X51)-2,SUM(X49:X51))</f>
        <v>0</v>
      </c>
      <c r="Y53" s="3" t="n">
        <f aca="false">IF(SUM(Y49:Y51)&gt;=2,SUM(Y49:Y51)-2,SUM(Y49:Y51))</f>
        <v>1</v>
      </c>
      <c r="Z53" s="3" t="s">
        <v>51</v>
      </c>
      <c r="AA53" s="1" t="n">
        <f aca="false">IF(G53=0,Y53*2^0+X53*2^1+W53*2^2+V53*2^3+T53*2^4+S53*2^5+R53*2^6+Q53*2^7+O53*2^8+N53*2^9+M53*2^10+L53*2^11+J53*2^12+I53*2^13+H53*2^14+G53*2^15,Y53*2^0+X53*2^1+W53*2^2+V53*2^3+T53*2^4+S53*2^5+R53*2^6+Q53*2^7+O53*2^8+N53*2^9+M53*2^10+L53*2^11+J53*2^12+I53*2^13+H53*2^14+G53*2^15-65536)</f>
        <v>21313</v>
      </c>
      <c r="AE53" s="3" t="n">
        <f aca="false">AE50+AE51</f>
        <v>-44223</v>
      </c>
      <c r="AF53" s="25"/>
      <c r="AG53" s="25"/>
      <c r="AH53" s="25"/>
    </row>
    <row r="54" customFormat="false" ht="12.8" hidden="false" customHeight="false" outlineLevel="0" collapsed="false">
      <c r="D54" s="9"/>
      <c r="F54" s="29"/>
      <c r="AF54" s="25"/>
      <c r="AG54" s="25"/>
      <c r="AH54" s="25"/>
    </row>
    <row r="55" customFormat="false" ht="12.8" hidden="false" customHeight="false" outlineLevel="0" collapsed="false">
      <c r="D55" s="30"/>
      <c r="E55" s="18"/>
      <c r="F55" s="18"/>
      <c r="G55" s="31" t="s">
        <v>52</v>
      </c>
      <c r="H55" s="31"/>
      <c r="I55" s="31"/>
      <c r="J55" s="32" t="n">
        <f aca="false">IF(SUM(G49:G51)&gt;=2,1,0)</f>
        <v>1</v>
      </c>
      <c r="K55" s="19"/>
      <c r="L55" s="31" t="s">
        <v>53</v>
      </c>
      <c r="M55" s="31"/>
      <c r="N55" s="31"/>
      <c r="O55" s="32" t="n">
        <f aca="false">IF(MOD(SUM(Q53:T53)+SUM(V53:Y53),2)=0,1,0)</f>
        <v>1</v>
      </c>
      <c r="P55" s="19"/>
      <c r="Q55" s="31" t="s">
        <v>54</v>
      </c>
      <c r="R55" s="31"/>
      <c r="S55" s="31"/>
      <c r="T55" s="32" t="n">
        <f aca="false">T49</f>
        <v>1</v>
      </c>
      <c r="U55" s="19"/>
      <c r="V55" s="31" t="s">
        <v>55</v>
      </c>
      <c r="W55" s="31"/>
      <c r="X55" s="31"/>
      <c r="Y55" s="32" t="n">
        <f aca="false">IF(AA53=0,1,0)</f>
        <v>0</v>
      </c>
      <c r="Z55" s="19"/>
      <c r="AA55" s="33" t="s">
        <v>56</v>
      </c>
      <c r="AB55" s="32" t="n">
        <f aca="false">G53</f>
        <v>0</v>
      </c>
      <c r="AC55" s="18"/>
      <c r="AD55" s="18" t="s">
        <v>57</v>
      </c>
      <c r="AE55" s="32" t="n">
        <f aca="false">MOD(G49+J55,2)</f>
        <v>1</v>
      </c>
      <c r="AF55" s="25"/>
      <c r="AG55" s="25"/>
      <c r="AH55" s="25"/>
    </row>
    <row r="57" customFormat="false" ht="12.8" hidden="false" customHeight="false" outlineLevel="0" collapsed="false">
      <c r="D57" s="4"/>
      <c r="E57" s="6"/>
      <c r="F57" s="21" t="s">
        <v>44</v>
      </c>
      <c r="G57" s="22" t="n">
        <f aca="false">IF(SUM(H57:H59)&gt;=2,1,0)</f>
        <v>0</v>
      </c>
      <c r="H57" s="22" t="n">
        <f aca="false">IF(SUM(I57:I59)&gt;=2,1,0)</f>
        <v>0</v>
      </c>
      <c r="I57" s="22" t="n">
        <f aca="false">IF(SUM(J57:J59)&gt;=2,1,0)</f>
        <v>0</v>
      </c>
      <c r="J57" s="23" t="n">
        <f aca="false">IF(SUM(L57:L59)&gt;=2,1,0)</f>
        <v>0</v>
      </c>
      <c r="K57" s="22"/>
      <c r="L57" s="22" t="n">
        <f aca="false">IF(SUM(M57:M59)&gt;=2,1,0)</f>
        <v>0</v>
      </c>
      <c r="M57" s="22" t="n">
        <f aca="false">IF(SUM(N57:N59)&gt;=2,1,0)</f>
        <v>0</v>
      </c>
      <c r="N57" s="22" t="n">
        <f aca="false">IF(SUM(O57:O59)&gt;=2,1,0)</f>
        <v>0</v>
      </c>
      <c r="O57" s="23" t="n">
        <f aca="false">IF(SUM(Q57:Q59)&gt;=2,1,0)</f>
        <v>1</v>
      </c>
      <c r="P57" s="22"/>
      <c r="Q57" s="22" t="n">
        <f aca="false">IF(SUM(R57:R59)&gt;=2,1,0)</f>
        <v>1</v>
      </c>
      <c r="R57" s="22" t="n">
        <f aca="false">IF(SUM(S57:S59)&gt;=2,1,0)</f>
        <v>1</v>
      </c>
      <c r="S57" s="22" t="n">
        <f aca="false">IF(SUM(T57:T59)&gt;=2,1,0)</f>
        <v>1</v>
      </c>
      <c r="T57" s="23" t="n">
        <f aca="false">IF(SUM(V57:V59)&gt;=2,1,0)</f>
        <v>1</v>
      </c>
      <c r="U57" s="22"/>
      <c r="V57" s="22" t="n">
        <f aca="false">IF(SUM(W57:W59)&gt;=2,1,0)</f>
        <v>1</v>
      </c>
      <c r="W57" s="22" t="n">
        <f aca="false">IF(SUM(X57:X59)&gt;=2,1,0)</f>
        <v>1</v>
      </c>
      <c r="X57" s="22" t="n">
        <f aca="false">IF(SUM(Y57:Y59)&gt;=2,1,0)</f>
        <v>0</v>
      </c>
      <c r="Y57" s="23" t="n">
        <v>0</v>
      </c>
      <c r="Z57" s="7"/>
      <c r="AA57" s="6"/>
      <c r="AB57" s="6"/>
      <c r="AC57" s="6"/>
      <c r="AD57" s="6"/>
      <c r="AE57" s="6"/>
      <c r="AF57" s="6"/>
      <c r="AG57" s="6"/>
      <c r="AH57" s="24"/>
    </row>
    <row r="58" customFormat="false" ht="12.8" hidden="false" customHeight="true" outlineLevel="0" collapsed="false">
      <c r="D58" s="9"/>
      <c r="E58" s="1" t="s">
        <v>45</v>
      </c>
      <c r="G58" s="3" t="n">
        <f aca="false">G4</f>
        <v>0</v>
      </c>
      <c r="H58" s="3" t="n">
        <f aca="false">H4</f>
        <v>0</v>
      </c>
      <c r="I58" s="3" t="n">
        <f aca="false">I4</f>
        <v>0</v>
      </c>
      <c r="J58" s="3" t="n">
        <f aca="false">J4</f>
        <v>0</v>
      </c>
      <c r="K58" s="3" t="str">
        <f aca="false">K4</f>
        <v>.</v>
      </c>
      <c r="L58" s="3" t="n">
        <f aca="false">L4</f>
        <v>1</v>
      </c>
      <c r="M58" s="3" t="n">
        <f aca="false">M4</f>
        <v>1</v>
      </c>
      <c r="N58" s="3" t="n">
        <f aca="false">N4</f>
        <v>0</v>
      </c>
      <c r="O58" s="3" t="n">
        <f aca="false">O4</f>
        <v>0</v>
      </c>
      <c r="P58" s="3" t="str">
        <f aca="false">P4</f>
        <v>.</v>
      </c>
      <c r="Q58" s="3" t="n">
        <f aca="false">Q4</f>
        <v>1</v>
      </c>
      <c r="R58" s="3" t="n">
        <f aca="false">R4</f>
        <v>1</v>
      </c>
      <c r="S58" s="3" t="n">
        <f aca="false">S4</f>
        <v>1</v>
      </c>
      <c r="T58" s="3" t="n">
        <f aca="false">T4</f>
        <v>0</v>
      </c>
      <c r="U58" s="3" t="str">
        <f aca="false">U4</f>
        <v>.</v>
      </c>
      <c r="V58" s="3" t="n">
        <f aca="false">V4</f>
        <v>1</v>
      </c>
      <c r="W58" s="3" t="n">
        <f aca="false">W4</f>
        <v>0</v>
      </c>
      <c r="X58" s="3" t="n">
        <f aca="false">X4</f>
        <v>1</v>
      </c>
      <c r="Y58" s="3" t="n">
        <f aca="false">Y4</f>
        <v>1</v>
      </c>
      <c r="AC58" s="1" t="s">
        <v>46</v>
      </c>
      <c r="AE58" s="3" t="n">
        <f aca="false">C4</f>
        <v>3307</v>
      </c>
      <c r="AF58" s="25" t="s">
        <v>71</v>
      </c>
      <c r="AG58" s="25"/>
      <c r="AH58" s="25"/>
    </row>
    <row r="59" customFormat="false" ht="12.8" hidden="false" customHeight="false" outlineLevel="0" collapsed="false">
      <c r="D59" s="9" t="s">
        <v>48</v>
      </c>
      <c r="E59" s="1" t="s">
        <v>66</v>
      </c>
      <c r="G59" s="3" t="n">
        <f aca="false">G11</f>
        <v>1</v>
      </c>
      <c r="H59" s="3" t="n">
        <f aca="false">H11</f>
        <v>0</v>
      </c>
      <c r="I59" s="3" t="n">
        <f aca="false">I11</f>
        <v>1</v>
      </c>
      <c r="J59" s="3" t="n">
        <f aca="false">J11</f>
        <v>1</v>
      </c>
      <c r="K59" s="3" t="str">
        <f aca="false">K11</f>
        <v>.</v>
      </c>
      <c r="L59" s="3" t="n">
        <f aca="false">L11</f>
        <v>0</v>
      </c>
      <c r="M59" s="3" t="n">
        <f aca="false">M11</f>
        <v>0</v>
      </c>
      <c r="N59" s="3" t="n">
        <f aca="false">N11</f>
        <v>0</v>
      </c>
      <c r="O59" s="3" t="n">
        <f aca="false">O11</f>
        <v>0</v>
      </c>
      <c r="P59" s="3" t="str">
        <f aca="false">P11</f>
        <v>.</v>
      </c>
      <c r="Q59" s="3" t="n">
        <f aca="false">Q11</f>
        <v>0</v>
      </c>
      <c r="R59" s="3" t="n">
        <f aca="false">R11</f>
        <v>0</v>
      </c>
      <c r="S59" s="3" t="n">
        <f aca="false">S11</f>
        <v>0</v>
      </c>
      <c r="T59" s="3" t="n">
        <f aca="false">T11</f>
        <v>1</v>
      </c>
      <c r="U59" s="3" t="str">
        <f aca="false">U11</f>
        <v>.</v>
      </c>
      <c r="V59" s="3" t="n">
        <f aca="false">V11</f>
        <v>0</v>
      </c>
      <c r="W59" s="3" t="n">
        <f aca="false">W11</f>
        <v>1</v>
      </c>
      <c r="X59" s="3" t="n">
        <f aca="false">X11</f>
        <v>1</v>
      </c>
      <c r="Y59" s="3" t="n">
        <f aca="false">Y11</f>
        <v>0</v>
      </c>
      <c r="AB59" s="1" t="s">
        <v>48</v>
      </c>
      <c r="AC59" s="1" t="s">
        <v>67</v>
      </c>
      <c r="AE59" s="3" t="n">
        <f aca="false">C11</f>
        <v>-20458</v>
      </c>
      <c r="AF59" s="25"/>
      <c r="AG59" s="25"/>
      <c r="AH59" s="25"/>
    </row>
    <row r="60" customFormat="false" ht="12.8" hidden="false" customHeight="false" outlineLevel="0" collapsed="false">
      <c r="D60" s="9"/>
      <c r="E60" s="26"/>
      <c r="F60" s="26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AC60" s="26"/>
      <c r="AD60" s="26"/>
      <c r="AE60" s="28"/>
      <c r="AF60" s="25"/>
      <c r="AG60" s="25"/>
      <c r="AH60" s="25"/>
    </row>
    <row r="61" customFormat="false" ht="12.8" hidden="false" customHeight="false" outlineLevel="0" collapsed="false">
      <c r="D61" s="9"/>
      <c r="G61" s="3" t="n">
        <f aca="false">IF(SUM(G57:G59)&gt;=2,SUM(G57:G59)-2,SUM(G57:G59))</f>
        <v>1</v>
      </c>
      <c r="H61" s="3" t="n">
        <f aca="false">IF(SUM(H57:H59)&gt;=2,SUM(H57:H59)-2,SUM(H57:H59))</f>
        <v>0</v>
      </c>
      <c r="I61" s="3" t="n">
        <f aca="false">IF(SUM(I57:I59)&gt;=2,SUM(I57:I59)-2,SUM(I57:I59))</f>
        <v>1</v>
      </c>
      <c r="J61" s="3" t="n">
        <f aca="false">IF(SUM(J57:J59)&gt;=2,SUM(J57:J59)-2,SUM(J57:J59))</f>
        <v>1</v>
      </c>
      <c r="K61" s="3" t="s">
        <v>4</v>
      </c>
      <c r="L61" s="3" t="n">
        <f aca="false">IF(SUM(L57:L59)&gt;=2,SUM(L57:L59)-2,SUM(L57:L59))</f>
        <v>1</v>
      </c>
      <c r="M61" s="3" t="n">
        <f aca="false">IF(SUM(M57:M59)&gt;=2,SUM(M57:M59)-2,SUM(M57:M59))</f>
        <v>1</v>
      </c>
      <c r="N61" s="3" t="n">
        <f aca="false">IF(SUM(N57:N59)&gt;=2,SUM(N57:N59)-2,SUM(N57:N59))</f>
        <v>0</v>
      </c>
      <c r="O61" s="3" t="n">
        <f aca="false">IF(SUM(O57:O59)&gt;=2,SUM(O57:O59)-2,SUM(O57:O59))</f>
        <v>1</v>
      </c>
      <c r="P61" s="3" t="s">
        <v>4</v>
      </c>
      <c r="Q61" s="3" t="n">
        <f aca="false">IF(SUM(Q57:Q59)&gt;=2,SUM(Q57:Q59)-2,SUM(Q57:Q59))</f>
        <v>0</v>
      </c>
      <c r="R61" s="3" t="n">
        <f aca="false">IF(SUM(R57:R59)&gt;=2,SUM(R57:R59)-2,SUM(R57:R59))</f>
        <v>0</v>
      </c>
      <c r="S61" s="3" t="n">
        <f aca="false">IF(SUM(S57:S59)&gt;=2,SUM(S57:S59)-2,SUM(S57:S59))</f>
        <v>0</v>
      </c>
      <c r="T61" s="3" t="n">
        <f aca="false">IF(SUM(T57:T59)&gt;=2,SUM(T57:T59)-2,SUM(T57:T59))</f>
        <v>0</v>
      </c>
      <c r="U61" s="3" t="s">
        <v>4</v>
      </c>
      <c r="V61" s="3" t="n">
        <f aca="false">IF(SUM(V57:V59)&gt;=2,SUM(V57:V59)-2,SUM(V57:V59))</f>
        <v>0</v>
      </c>
      <c r="W61" s="3" t="n">
        <f aca="false">IF(SUM(W57:W59)&gt;=2,SUM(W57:W59)-2,SUM(W57:W59))</f>
        <v>0</v>
      </c>
      <c r="X61" s="3" t="n">
        <f aca="false">IF(SUM(X57:X59)&gt;=2,SUM(X57:X59)-2,SUM(X57:X59))</f>
        <v>0</v>
      </c>
      <c r="Y61" s="3" t="n">
        <f aca="false">IF(SUM(Y57:Y59)&gt;=2,SUM(Y57:Y59)-2,SUM(Y57:Y59))</f>
        <v>1</v>
      </c>
      <c r="Z61" s="3" t="s">
        <v>51</v>
      </c>
      <c r="AA61" s="1" t="n">
        <f aca="false">IF(G61=0,Y61*2^0+X61*2^1+W61*2^2+V61*2^3+T61*2^4+S61*2^5+R61*2^6+Q61*2^7+O61*2^8+N61*2^9+M61*2^10+L61*2^11+J61*2^12+I61*2^13+H61*2^14+G61*2^15,Y61*2^0+X61*2^1+W61*2^2+V61*2^3+T61*2^4+S61*2^5+R61*2^6+Q61*2^7+O61*2^8+N61*2^9+M61*2^10+L61*2^11+J61*2^12+I61*2^13+H61*2^14+G61*2^15-65536)</f>
        <v>-17151</v>
      </c>
      <c r="AE61" s="3" t="n">
        <f aca="false">AE58+AE59</f>
        <v>-17151</v>
      </c>
      <c r="AF61" s="25"/>
      <c r="AG61" s="25"/>
      <c r="AH61" s="25"/>
    </row>
    <row r="62" customFormat="false" ht="12.8" hidden="false" customHeight="false" outlineLevel="0" collapsed="false">
      <c r="D62" s="9"/>
      <c r="F62" s="29"/>
      <c r="AF62" s="25"/>
      <c r="AG62" s="25"/>
      <c r="AH62" s="25"/>
    </row>
    <row r="63" customFormat="false" ht="12.8" hidden="false" customHeight="false" outlineLevel="0" collapsed="false">
      <c r="D63" s="30"/>
      <c r="E63" s="18"/>
      <c r="F63" s="18"/>
      <c r="G63" s="31" t="s">
        <v>52</v>
      </c>
      <c r="H63" s="31"/>
      <c r="I63" s="31"/>
      <c r="J63" s="32" t="n">
        <f aca="false">IF(SUM(G57:G59)&gt;=2,1,0)</f>
        <v>0</v>
      </c>
      <c r="K63" s="19"/>
      <c r="L63" s="31" t="s">
        <v>53</v>
      </c>
      <c r="M63" s="31"/>
      <c r="N63" s="31"/>
      <c r="O63" s="32" t="n">
        <f aca="false">IF(MOD(SUM(Q61:T61)+SUM(V61:Y61),2)=0,1,0)</f>
        <v>0</v>
      </c>
      <c r="P63" s="19"/>
      <c r="Q63" s="31" t="s">
        <v>54</v>
      </c>
      <c r="R63" s="31"/>
      <c r="S63" s="31"/>
      <c r="T63" s="32" t="n">
        <f aca="false">T57</f>
        <v>1</v>
      </c>
      <c r="U63" s="19"/>
      <c r="V63" s="31" t="s">
        <v>55</v>
      </c>
      <c r="W63" s="31"/>
      <c r="X63" s="31"/>
      <c r="Y63" s="32" t="n">
        <f aca="false">IF(AA61=0,1,0)</f>
        <v>0</v>
      </c>
      <c r="Z63" s="19"/>
      <c r="AA63" s="33" t="s">
        <v>56</v>
      </c>
      <c r="AB63" s="32" t="n">
        <f aca="false">G61</f>
        <v>1</v>
      </c>
      <c r="AC63" s="18"/>
      <c r="AD63" s="18" t="s">
        <v>57</v>
      </c>
      <c r="AE63" s="32" t="n">
        <f aca="false">MOD(G57+J63,2)</f>
        <v>0</v>
      </c>
      <c r="AF63" s="25"/>
      <c r="AG63" s="25"/>
      <c r="AH63" s="25"/>
    </row>
    <row r="65" customFormat="false" ht="12.8" hidden="false" customHeight="false" outlineLevel="0" collapsed="false">
      <c r="D65" s="4"/>
      <c r="E65" s="6"/>
      <c r="F65" s="21" t="s">
        <v>44</v>
      </c>
      <c r="G65" s="22" t="n">
        <f aca="false">IF(SUM(H65:H67)&gt;=2,1,0)</f>
        <v>1</v>
      </c>
      <c r="H65" s="22" t="n">
        <f aca="false">IF(SUM(I65:I67)&gt;=2,1,0)</f>
        <v>1</v>
      </c>
      <c r="I65" s="22" t="n">
        <f aca="false">IF(SUM(J65:J67)&gt;=2,1,0)</f>
        <v>1</v>
      </c>
      <c r="J65" s="23" t="n">
        <f aca="false">IF(SUM(L65:L67)&gt;=2,1,0)</f>
        <v>1</v>
      </c>
      <c r="K65" s="22"/>
      <c r="L65" s="22" t="n">
        <f aca="false">IF(SUM(M65:M67)&gt;=2,1,0)</f>
        <v>1</v>
      </c>
      <c r="M65" s="22" t="n">
        <f aca="false">IF(SUM(N65:N67)&gt;=2,1,0)</f>
        <v>0</v>
      </c>
      <c r="N65" s="22" t="n">
        <f aca="false">IF(SUM(O65:O67)&gt;=2,1,0)</f>
        <v>0</v>
      </c>
      <c r="O65" s="23" t="n">
        <f aca="false">IF(SUM(Q65:Q67)&gt;=2,1,0)</f>
        <v>0</v>
      </c>
      <c r="P65" s="22"/>
      <c r="Q65" s="22" t="n">
        <f aca="false">IF(SUM(R65:R67)&gt;=2,1,0)</f>
        <v>0</v>
      </c>
      <c r="R65" s="22" t="n">
        <f aca="false">IF(SUM(S65:S67)&gt;=2,1,0)</f>
        <v>0</v>
      </c>
      <c r="S65" s="22" t="n">
        <f aca="false">IF(SUM(T65:T67)&gt;=2,1,0)</f>
        <v>0</v>
      </c>
      <c r="T65" s="23" t="n">
        <f aca="false">IF(SUM(V65:V67)&gt;=2,1,0)</f>
        <v>0</v>
      </c>
      <c r="U65" s="22"/>
      <c r="V65" s="22" t="n">
        <f aca="false">IF(SUM(W65:W67)&gt;=2,1,0)</f>
        <v>0</v>
      </c>
      <c r="W65" s="22" t="n">
        <f aca="false">IF(SUM(X65:X67)&gt;=2,1,0)</f>
        <v>0</v>
      </c>
      <c r="X65" s="22" t="n">
        <f aca="false">IF(SUM(Y65:Y67)&gt;=2,1,0)</f>
        <v>1</v>
      </c>
      <c r="Y65" s="23" t="n">
        <v>0</v>
      </c>
      <c r="Z65" s="7"/>
      <c r="AA65" s="6"/>
      <c r="AB65" s="6"/>
      <c r="AC65" s="6"/>
      <c r="AD65" s="6"/>
      <c r="AE65" s="6"/>
      <c r="AF65" s="6"/>
      <c r="AG65" s="6"/>
      <c r="AH65" s="24"/>
    </row>
    <row r="66" customFormat="false" ht="12.8" hidden="false" customHeight="true" outlineLevel="0" collapsed="false">
      <c r="D66" s="9"/>
      <c r="E66" s="1" t="s">
        <v>72</v>
      </c>
      <c r="G66" s="3" t="n">
        <f aca="false">G14</f>
        <v>1</v>
      </c>
      <c r="H66" s="3" t="n">
        <f aca="false">H14</f>
        <v>0</v>
      </c>
      <c r="I66" s="3" t="n">
        <f aca="false">I14</f>
        <v>1</v>
      </c>
      <c r="J66" s="3" t="n">
        <f aca="false">J14</f>
        <v>1</v>
      </c>
      <c r="K66" s="3" t="str">
        <f aca="false">K14</f>
        <v>.</v>
      </c>
      <c r="L66" s="3" t="n">
        <f aca="false">L14</f>
        <v>1</v>
      </c>
      <c r="M66" s="3" t="n">
        <f aca="false">M14</f>
        <v>1</v>
      </c>
      <c r="N66" s="3" t="n">
        <f aca="false">N14</f>
        <v>0</v>
      </c>
      <c r="O66" s="3" t="n">
        <f aca="false">O14</f>
        <v>1</v>
      </c>
      <c r="P66" s="3" t="str">
        <f aca="false">P14</f>
        <v>.</v>
      </c>
      <c r="Q66" s="3" t="n">
        <f aca="false">Q14</f>
        <v>0</v>
      </c>
      <c r="R66" s="3" t="n">
        <f aca="false">R14</f>
        <v>0</v>
      </c>
      <c r="S66" s="3" t="n">
        <f aca="false">S14</f>
        <v>0</v>
      </c>
      <c r="T66" s="3" t="n">
        <f aca="false">T14</f>
        <v>0</v>
      </c>
      <c r="U66" s="3" t="str">
        <f aca="false">U14</f>
        <v>.</v>
      </c>
      <c r="V66" s="3" t="n">
        <f aca="false">V14</f>
        <v>0</v>
      </c>
      <c r="W66" s="3" t="n">
        <f aca="false">W14</f>
        <v>0</v>
      </c>
      <c r="X66" s="3" t="n">
        <f aca="false">X14</f>
        <v>0</v>
      </c>
      <c r="Y66" s="3" t="n">
        <f aca="false">Y14</f>
        <v>1</v>
      </c>
      <c r="AC66" s="1" t="s">
        <v>73</v>
      </c>
      <c r="AE66" s="3" t="n">
        <f aca="false">C14</f>
        <v>-17151</v>
      </c>
      <c r="AF66" s="25" t="s">
        <v>74</v>
      </c>
      <c r="AG66" s="25"/>
      <c r="AH66" s="25"/>
    </row>
    <row r="67" customFormat="false" ht="12.8" hidden="false" customHeight="false" outlineLevel="0" collapsed="false">
      <c r="D67" s="9" t="s">
        <v>48</v>
      </c>
      <c r="E67" s="1" t="s">
        <v>59</v>
      </c>
      <c r="G67" s="3" t="n">
        <f aca="false">G6</f>
        <v>0</v>
      </c>
      <c r="H67" s="3" t="n">
        <f aca="false">H6</f>
        <v>1</v>
      </c>
      <c r="I67" s="3" t="n">
        <f aca="false">I6</f>
        <v>0</v>
      </c>
      <c r="J67" s="3" t="n">
        <f aca="false">J6</f>
        <v>1</v>
      </c>
      <c r="K67" s="3" t="str">
        <f aca="false">K6</f>
        <v>.</v>
      </c>
      <c r="L67" s="3" t="n">
        <f aca="false">L6</f>
        <v>1</v>
      </c>
      <c r="M67" s="3" t="n">
        <f aca="false">M6</f>
        <v>1</v>
      </c>
      <c r="N67" s="3" t="n">
        <f aca="false">N6</f>
        <v>0</v>
      </c>
      <c r="O67" s="3" t="n">
        <f aca="false">O6</f>
        <v>0</v>
      </c>
      <c r="P67" s="3" t="str">
        <f aca="false">P6</f>
        <v>.</v>
      </c>
      <c r="Q67" s="3" t="n">
        <f aca="false">Q6</f>
        <v>1</v>
      </c>
      <c r="R67" s="3" t="n">
        <f aca="false">R6</f>
        <v>1</v>
      </c>
      <c r="S67" s="3" t="n">
        <f aca="false">S6</f>
        <v>0</v>
      </c>
      <c r="T67" s="3" t="n">
        <f aca="false">T6</f>
        <v>1</v>
      </c>
      <c r="U67" s="3" t="str">
        <f aca="false">U6</f>
        <v>.</v>
      </c>
      <c r="V67" s="3" t="n">
        <f aca="false">V6</f>
        <v>0</v>
      </c>
      <c r="W67" s="3" t="n">
        <f aca="false">W6</f>
        <v>1</v>
      </c>
      <c r="X67" s="3" t="n">
        <f aca="false">X6</f>
        <v>0</v>
      </c>
      <c r="Y67" s="3" t="n">
        <f aca="false">Y6</f>
        <v>1</v>
      </c>
      <c r="AB67" s="1" t="s">
        <v>48</v>
      </c>
      <c r="AC67" s="1" t="s">
        <v>60</v>
      </c>
      <c r="AE67" s="3" t="n">
        <f aca="false">C6</f>
        <v>23765</v>
      </c>
      <c r="AF67" s="25"/>
      <c r="AG67" s="25"/>
      <c r="AH67" s="25"/>
    </row>
    <row r="68" customFormat="false" ht="12.8" hidden="false" customHeight="false" outlineLevel="0" collapsed="false">
      <c r="D68" s="9"/>
      <c r="E68" s="26"/>
      <c r="F68" s="26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AC68" s="26"/>
      <c r="AD68" s="26"/>
      <c r="AE68" s="28"/>
      <c r="AF68" s="25"/>
      <c r="AG68" s="25"/>
      <c r="AH68" s="25"/>
    </row>
    <row r="69" customFormat="false" ht="12.8" hidden="false" customHeight="false" outlineLevel="0" collapsed="false">
      <c r="D69" s="9"/>
      <c r="G69" s="3" t="n">
        <f aca="false">IF(SUM(G65:G67)&gt;=2,SUM(G65:G67)-2,SUM(G65:G67))</f>
        <v>0</v>
      </c>
      <c r="H69" s="3" t="n">
        <f aca="false">IF(SUM(H65:H67)&gt;=2,SUM(H65:H67)-2,SUM(H65:H67))</f>
        <v>0</v>
      </c>
      <c r="I69" s="3" t="n">
        <f aca="false">IF(SUM(I65:I67)&gt;=2,SUM(I65:I67)-2,SUM(I65:I67))</f>
        <v>0</v>
      </c>
      <c r="J69" s="3" t="n">
        <f aca="false">IF(SUM(J65:J67)&gt;=2,SUM(J65:J67)-2,SUM(J65:J67))</f>
        <v>1</v>
      </c>
      <c r="K69" s="3" t="s">
        <v>4</v>
      </c>
      <c r="L69" s="3" t="n">
        <f aca="false">IF(SUM(L65:L67)&gt;=2,SUM(L65:L67)-2,SUM(L65:L67))</f>
        <v>1</v>
      </c>
      <c r="M69" s="3" t="n">
        <f aca="false">IF(SUM(M65:M67)&gt;=2,SUM(M65:M67)-2,SUM(M65:M67))</f>
        <v>0</v>
      </c>
      <c r="N69" s="3" t="n">
        <f aca="false">IF(SUM(N65:N67)&gt;=2,SUM(N65:N67)-2,SUM(N65:N67))</f>
        <v>0</v>
      </c>
      <c r="O69" s="3" t="n">
        <f aca="false">IF(SUM(O65:O67)&gt;=2,SUM(O65:O67)-2,SUM(O65:O67))</f>
        <v>1</v>
      </c>
      <c r="P69" s="3" t="s">
        <v>4</v>
      </c>
      <c r="Q69" s="3" t="n">
        <f aca="false">IF(SUM(Q65:Q67)&gt;=2,SUM(Q65:Q67)-2,SUM(Q65:Q67))</f>
        <v>1</v>
      </c>
      <c r="R69" s="3" t="n">
        <f aca="false">IF(SUM(R65:R67)&gt;=2,SUM(R65:R67)-2,SUM(R65:R67))</f>
        <v>1</v>
      </c>
      <c r="S69" s="3" t="n">
        <f aca="false">IF(SUM(S65:S67)&gt;=2,SUM(S65:S67)-2,SUM(S65:S67))</f>
        <v>0</v>
      </c>
      <c r="T69" s="3" t="n">
        <f aca="false">IF(SUM(T65:T67)&gt;=2,SUM(T65:T67)-2,SUM(T65:T67))</f>
        <v>1</v>
      </c>
      <c r="U69" s="3" t="s">
        <v>4</v>
      </c>
      <c r="V69" s="3" t="n">
        <f aca="false">IF(SUM(V65:V67)&gt;=2,SUM(V65:V67)-2,SUM(V65:V67))</f>
        <v>0</v>
      </c>
      <c r="W69" s="3" t="n">
        <f aca="false">IF(SUM(W65:W67)&gt;=2,SUM(W65:W67)-2,SUM(W65:W67))</f>
        <v>1</v>
      </c>
      <c r="X69" s="3" t="n">
        <f aca="false">IF(SUM(X65:X67)&gt;=2,SUM(X65:X67)-2,SUM(X65:X67))</f>
        <v>1</v>
      </c>
      <c r="Y69" s="3" t="n">
        <f aca="false">IF(SUM(Y65:Y67)&gt;=2,SUM(Y65:Y67)-2,SUM(Y65:Y67))</f>
        <v>0</v>
      </c>
      <c r="Z69" s="3" t="s">
        <v>51</v>
      </c>
      <c r="AA69" s="1" t="n">
        <f aca="false">IF(G69=0,Y69*2^0+X69*2^1+W69*2^2+V69*2^3+T69*2^4+S69*2^5+R69*2^6+Q69*2^7+O69*2^8+N69*2^9+M69*2^10+L69*2^11+J69*2^12+I69*2^13+H69*2^14+G69*2^15,Y69*2^0+X69*2^1+W69*2^2+V69*2^3+T69*2^4+S69*2^5+R69*2^6+Q69*2^7+O69*2^8+N69*2^9+M69*2^10+L69*2^11+J69*2^12+I69*2^13+H69*2^14+G69*2^15-65536)</f>
        <v>6614</v>
      </c>
      <c r="AE69" s="3" t="n">
        <f aca="false">AE66+AE67</f>
        <v>6614</v>
      </c>
      <c r="AF69" s="25"/>
      <c r="AG69" s="25"/>
      <c r="AH69" s="25"/>
    </row>
    <row r="70" customFormat="false" ht="12.8" hidden="false" customHeight="false" outlineLevel="0" collapsed="false">
      <c r="D70" s="9"/>
      <c r="F70" s="29"/>
      <c r="AF70" s="25"/>
      <c r="AG70" s="25"/>
      <c r="AH70" s="25"/>
    </row>
    <row r="71" customFormat="false" ht="12.8" hidden="false" customHeight="false" outlineLevel="0" collapsed="false">
      <c r="D71" s="30"/>
      <c r="E71" s="18"/>
      <c r="F71" s="18"/>
      <c r="G71" s="31" t="s">
        <v>52</v>
      </c>
      <c r="H71" s="31"/>
      <c r="I71" s="31"/>
      <c r="J71" s="32" t="n">
        <f aca="false">IF(SUM(G65:G67)&gt;=2,1,0)</f>
        <v>1</v>
      </c>
      <c r="K71" s="19"/>
      <c r="L71" s="31" t="s">
        <v>53</v>
      </c>
      <c r="M71" s="31"/>
      <c r="N71" s="31"/>
      <c r="O71" s="32" t="n">
        <f aca="false">IF(MOD(SUM(Q69:T69)+SUM(V69:Y69),2)=0,1,0)</f>
        <v>0</v>
      </c>
      <c r="P71" s="19"/>
      <c r="Q71" s="31" t="s">
        <v>54</v>
      </c>
      <c r="R71" s="31"/>
      <c r="S71" s="31"/>
      <c r="T71" s="32" t="n">
        <f aca="false">T65</f>
        <v>0</v>
      </c>
      <c r="U71" s="19"/>
      <c r="V71" s="31" t="s">
        <v>55</v>
      </c>
      <c r="W71" s="31"/>
      <c r="X71" s="31"/>
      <c r="Y71" s="32" t="n">
        <f aca="false">IF(AA69=0,1,0)</f>
        <v>0</v>
      </c>
      <c r="Z71" s="19"/>
      <c r="AA71" s="33" t="s">
        <v>56</v>
      </c>
      <c r="AB71" s="32" t="n">
        <f aca="false">G69</f>
        <v>0</v>
      </c>
      <c r="AC71" s="18"/>
      <c r="AD71" s="18" t="s">
        <v>57</v>
      </c>
      <c r="AE71" s="32" t="n">
        <f aca="false">MOD(G65+J71,2)</f>
        <v>0</v>
      </c>
      <c r="AF71" s="25"/>
      <c r="AG71" s="25"/>
      <c r="AH71" s="25"/>
    </row>
  </sheetData>
  <mergeCells count="36">
    <mergeCell ref="A16:B16"/>
    <mergeCell ref="AF18:AH23"/>
    <mergeCell ref="G23:I23"/>
    <mergeCell ref="L23:N23"/>
    <mergeCell ref="Q23:S23"/>
    <mergeCell ref="V23:X23"/>
    <mergeCell ref="AF26:AH31"/>
    <mergeCell ref="G31:I31"/>
    <mergeCell ref="L31:N31"/>
    <mergeCell ref="Q31:S31"/>
    <mergeCell ref="V31:X31"/>
    <mergeCell ref="AF34:AH39"/>
    <mergeCell ref="G39:I39"/>
    <mergeCell ref="L39:N39"/>
    <mergeCell ref="Q39:S39"/>
    <mergeCell ref="V39:X39"/>
    <mergeCell ref="AF42:AH47"/>
    <mergeCell ref="G47:I47"/>
    <mergeCell ref="L47:N47"/>
    <mergeCell ref="Q47:S47"/>
    <mergeCell ref="V47:X47"/>
    <mergeCell ref="AF50:AH55"/>
    <mergeCell ref="G55:I55"/>
    <mergeCell ref="L55:N55"/>
    <mergeCell ref="Q55:S55"/>
    <mergeCell ref="V55:X55"/>
    <mergeCell ref="AF58:AH63"/>
    <mergeCell ref="G63:I63"/>
    <mergeCell ref="L63:N63"/>
    <mergeCell ref="Q63:S63"/>
    <mergeCell ref="V63:X63"/>
    <mergeCell ref="AF66:AH71"/>
    <mergeCell ref="G71:I71"/>
    <mergeCell ref="L71:N71"/>
    <mergeCell ref="Q71:S71"/>
    <mergeCell ref="V71:X71"/>
  </mergeCells>
  <conditionalFormatting sqref="G4:Y7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875" right="0.7875" top="1.38611111111111" bottom="1.21944444444444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Roman,Обычный"&amp;12Шулай Роман Юрьевич
Вариант №35 
Название файла: lab5.xlsx</oddHeader>
    <oddFooter>&amp;C&amp;"Times New Roman,Обычный"&amp;12Дата создания: 29.11.2025
Время создания: 14:40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2025-11-29T14:39:44Z</dcterms:created>
  <dc:creator/>
  <dc:description/>
  <dc:language>ru-RU</dc:language>
  <cp:lastModifiedBy/>
  <dcterms:modified xsi:type="dcterms:W3CDTF">2025-12-01T00:25:59Z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